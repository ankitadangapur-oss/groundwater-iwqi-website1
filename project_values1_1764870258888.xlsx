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B0D27536DC18DD/Documents/"/>
    </mc:Choice>
  </mc:AlternateContent>
  <xr:revisionPtr revIDLastSave="0" documentId="8_{43EDC53D-97A6-4856-8C76-67AA137931F8}" xr6:coauthVersionLast="47" xr6:coauthVersionMax="47" xr10:uidLastSave="{00000000-0000-0000-0000-000000000000}"/>
  <bookViews>
    <workbookView xWindow="-108" yWindow="-108" windowWidth="23256" windowHeight="12456" firstSheet="3" activeTab="3" xr2:uid="{37FBE7CE-887D-4E2B-A857-6ECF46C61D48}"/>
  </bookViews>
  <sheets>
    <sheet name="Sheet1" sheetId="1" r:id="rId1"/>
    <sheet name="Sheet5" sheetId="5" r:id="rId2"/>
    <sheet name="Sheet2" sheetId="2" state="hidden" r:id="rId3"/>
    <sheet name="Sheet4" sheetId="4" r:id="rId4"/>
    <sheet name="Sheet3" sheetId="3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1" i="5" l="1"/>
  <c r="S11" i="5"/>
  <c r="R11" i="5"/>
  <c r="Q11" i="5"/>
  <c r="V11" i="5" s="1"/>
  <c r="J11" i="5"/>
  <c r="W10" i="5"/>
  <c r="S10" i="5"/>
  <c r="R10" i="5"/>
  <c r="Q10" i="5"/>
  <c r="V10" i="5" s="1"/>
  <c r="J10" i="5"/>
  <c r="W9" i="5"/>
  <c r="S9" i="5"/>
  <c r="R9" i="5"/>
  <c r="Q9" i="5"/>
  <c r="V9" i="5" s="1"/>
  <c r="J9" i="5"/>
  <c r="W8" i="5"/>
  <c r="S8" i="5"/>
  <c r="R8" i="5"/>
  <c r="Q8" i="5"/>
  <c r="V8" i="5" s="1"/>
  <c r="J8" i="5"/>
  <c r="W7" i="5"/>
  <c r="S7" i="5"/>
  <c r="R7" i="5"/>
  <c r="Q7" i="5"/>
  <c r="V7" i="5" s="1"/>
  <c r="J7" i="5"/>
  <c r="W6" i="5"/>
  <c r="S6" i="5"/>
  <c r="R6" i="5"/>
  <c r="Q6" i="5"/>
  <c r="V6" i="5" s="1"/>
  <c r="J6" i="5"/>
  <c r="W5" i="5"/>
  <c r="S5" i="5"/>
  <c r="R5" i="5"/>
  <c r="Q5" i="5"/>
  <c r="V5" i="5" s="1"/>
  <c r="J5" i="5"/>
  <c r="W4" i="5"/>
  <c r="S4" i="5"/>
  <c r="R4" i="5"/>
  <c r="Q4" i="5"/>
  <c r="V4" i="5" s="1"/>
  <c r="J4" i="5"/>
  <c r="W3" i="5"/>
  <c r="S3" i="5"/>
  <c r="R3" i="5"/>
  <c r="Q3" i="5"/>
  <c r="V3" i="5" s="1"/>
  <c r="J3" i="5"/>
  <c r="W2" i="5"/>
  <c r="S2" i="5"/>
  <c r="R2" i="5"/>
  <c r="Q2" i="5"/>
  <c r="V2" i="5" s="1"/>
  <c r="J2" i="5"/>
  <c r="Q11" i="4"/>
  <c r="P11" i="4"/>
  <c r="S11" i="4" s="1"/>
  <c r="O11" i="4"/>
  <c r="H11" i="4"/>
  <c r="T11" i="4" s="1"/>
  <c r="U11" i="4" s="1"/>
  <c r="Q10" i="4"/>
  <c r="P10" i="4"/>
  <c r="S10" i="4" s="1"/>
  <c r="O10" i="4"/>
  <c r="H10" i="4"/>
  <c r="T10" i="4" s="1"/>
  <c r="U10" i="4" s="1"/>
  <c r="Q9" i="4"/>
  <c r="P9" i="4"/>
  <c r="S9" i="4" s="1"/>
  <c r="O9" i="4"/>
  <c r="H9" i="4"/>
  <c r="T9" i="4" s="1"/>
  <c r="U9" i="4" s="1"/>
  <c r="Q8" i="4"/>
  <c r="P8" i="4"/>
  <c r="S8" i="4" s="1"/>
  <c r="O8" i="4"/>
  <c r="H8" i="4"/>
  <c r="T8" i="4" s="1"/>
  <c r="U8" i="4" s="1"/>
  <c r="Q7" i="4"/>
  <c r="P7" i="4"/>
  <c r="S7" i="4" s="1"/>
  <c r="O7" i="4"/>
  <c r="H7" i="4"/>
  <c r="T7" i="4" s="1"/>
  <c r="U7" i="4" s="1"/>
  <c r="Q6" i="4"/>
  <c r="P6" i="4"/>
  <c r="S6" i="4" s="1"/>
  <c r="O6" i="4"/>
  <c r="H6" i="4"/>
  <c r="T6" i="4" s="1"/>
  <c r="U6" i="4" s="1"/>
  <c r="Q5" i="4"/>
  <c r="P5" i="4"/>
  <c r="S5" i="4" s="1"/>
  <c r="O5" i="4"/>
  <c r="H5" i="4"/>
  <c r="T5" i="4" s="1"/>
  <c r="U5" i="4" s="1"/>
  <c r="Q4" i="4"/>
  <c r="P4" i="4"/>
  <c r="S4" i="4" s="1"/>
  <c r="O4" i="4"/>
  <c r="H4" i="4"/>
  <c r="T4" i="4" s="1"/>
  <c r="U4" i="4" s="1"/>
  <c r="Q3" i="4"/>
  <c r="P3" i="4"/>
  <c r="S3" i="4" s="1"/>
  <c r="O3" i="4"/>
  <c r="H3" i="4"/>
  <c r="T3" i="4" s="1"/>
  <c r="U3" i="4" s="1"/>
  <c r="Q2" i="4"/>
  <c r="P2" i="4"/>
  <c r="O2" i="4"/>
  <c r="H2" i="4"/>
  <c r="T2" i="4" s="1"/>
  <c r="U2" i="4" s="1"/>
  <c r="X2" i="1"/>
  <c r="R7" i="1"/>
  <c r="U5" i="3"/>
  <c r="U2" i="3"/>
  <c r="R11" i="3"/>
  <c r="Q11" i="3"/>
  <c r="P11" i="3"/>
  <c r="I11" i="3"/>
  <c r="U11" i="3" s="1"/>
  <c r="R10" i="3"/>
  <c r="Q10" i="3"/>
  <c r="P10" i="3"/>
  <c r="I10" i="3"/>
  <c r="U10" i="3" s="1"/>
  <c r="R9" i="3"/>
  <c r="Q9" i="3"/>
  <c r="P9" i="3"/>
  <c r="I9" i="3"/>
  <c r="U9" i="3" s="1"/>
  <c r="R8" i="3"/>
  <c r="Q8" i="3"/>
  <c r="P8" i="3"/>
  <c r="I8" i="3"/>
  <c r="U8" i="3" s="1"/>
  <c r="R7" i="3"/>
  <c r="Q7" i="3"/>
  <c r="P7" i="3"/>
  <c r="I7" i="3"/>
  <c r="U7" i="3" s="1"/>
  <c r="R6" i="3"/>
  <c r="Q6" i="3"/>
  <c r="P6" i="3"/>
  <c r="I6" i="3"/>
  <c r="U6" i="3" s="1"/>
  <c r="R5" i="3"/>
  <c r="Q5" i="3"/>
  <c r="P5" i="3"/>
  <c r="I5" i="3"/>
  <c r="R4" i="3"/>
  <c r="Q4" i="3"/>
  <c r="P4" i="3"/>
  <c r="I4" i="3"/>
  <c r="U4" i="3" s="1"/>
  <c r="R3" i="3"/>
  <c r="Q3" i="3"/>
  <c r="P3" i="3"/>
  <c r="I3" i="3"/>
  <c r="U3" i="3" s="1"/>
  <c r="R2" i="3"/>
  <c r="Q2" i="3"/>
  <c r="P2" i="3"/>
  <c r="I2" i="3"/>
  <c r="I11" i="2"/>
  <c r="I10" i="2"/>
  <c r="I9" i="2"/>
  <c r="I8" i="2"/>
  <c r="I7" i="2"/>
  <c r="I6" i="2"/>
  <c r="I5" i="2"/>
  <c r="I4" i="2"/>
  <c r="I3" i="2"/>
  <c r="I2" i="1"/>
  <c r="I2" i="2"/>
  <c r="U2" i="2"/>
  <c r="T2" i="2"/>
  <c r="R11" i="2"/>
  <c r="R10" i="2"/>
  <c r="R9" i="2"/>
  <c r="R8" i="2"/>
  <c r="R7" i="2"/>
  <c r="R6" i="2"/>
  <c r="R5" i="2"/>
  <c r="R4" i="2"/>
  <c r="R3" i="2"/>
  <c r="R2" i="2"/>
  <c r="Q11" i="2"/>
  <c r="Q10" i="2"/>
  <c r="Q9" i="2"/>
  <c r="Q8" i="2"/>
  <c r="Q7" i="2"/>
  <c r="Q6" i="2"/>
  <c r="Q5" i="2"/>
  <c r="Q4" i="2"/>
  <c r="Q3" i="2"/>
  <c r="Q2" i="2"/>
  <c r="P3" i="1"/>
  <c r="P11" i="2"/>
  <c r="P10" i="2"/>
  <c r="P9" i="2"/>
  <c r="P8" i="2"/>
  <c r="P7" i="2"/>
  <c r="P6" i="2"/>
  <c r="P5" i="2"/>
  <c r="P4" i="2"/>
  <c r="P3" i="2"/>
  <c r="P2" i="2"/>
  <c r="P5" i="1"/>
  <c r="P4" i="1"/>
  <c r="P2" i="1"/>
  <c r="T3" i="2"/>
  <c r="V3" i="2"/>
  <c r="X3" i="2"/>
  <c r="T4" i="2"/>
  <c r="V4" i="2"/>
  <c r="X4" i="2"/>
  <c r="T5" i="2"/>
  <c r="V5" i="2"/>
  <c r="X5" i="2"/>
  <c r="T6" i="2"/>
  <c r="V6" i="2"/>
  <c r="X6" i="2"/>
  <c r="T7" i="2"/>
  <c r="V7" i="2"/>
  <c r="X7" i="2"/>
  <c r="T8" i="2"/>
  <c r="V8" i="2"/>
  <c r="X8" i="2"/>
  <c r="T9" i="2"/>
  <c r="V9" i="2"/>
  <c r="X9" i="2"/>
  <c r="T10" i="2"/>
  <c r="V10" i="2"/>
  <c r="X10" i="2"/>
  <c r="T11" i="2"/>
  <c r="V11" i="2"/>
  <c r="X11" i="2"/>
  <c r="V2" i="2"/>
  <c r="X2" i="2"/>
  <c r="R2" i="1"/>
  <c r="Q2" i="1"/>
  <c r="T2" i="1"/>
  <c r="V2" i="1"/>
  <c r="U3" i="2"/>
  <c r="U4" i="2"/>
  <c r="U5" i="2"/>
  <c r="U6" i="2"/>
  <c r="U7" i="2"/>
  <c r="U8" i="2"/>
  <c r="U9" i="2"/>
  <c r="U10" i="2"/>
  <c r="U11" i="2"/>
  <c r="U2" i="1"/>
  <c r="R3" i="1"/>
  <c r="Q3" i="1"/>
  <c r="T3" i="1"/>
  <c r="V3" i="1"/>
  <c r="X3" i="1"/>
  <c r="R4" i="1"/>
  <c r="Q4" i="1"/>
  <c r="T4" i="1"/>
  <c r="V4" i="1"/>
  <c r="X4" i="1"/>
  <c r="R5" i="1"/>
  <c r="Q5" i="1"/>
  <c r="T5" i="1"/>
  <c r="V5" i="1"/>
  <c r="X5" i="1"/>
  <c r="R6" i="1"/>
  <c r="P6" i="1"/>
  <c r="Q6" i="1"/>
  <c r="T6" i="1"/>
  <c r="V6" i="1"/>
  <c r="X6" i="1"/>
  <c r="P7" i="1"/>
  <c r="Q7" i="1"/>
  <c r="T7" i="1"/>
  <c r="V7" i="1"/>
  <c r="X7" i="1" s="1"/>
  <c r="R8" i="1"/>
  <c r="P8" i="1"/>
  <c r="Q8" i="1"/>
  <c r="T8" i="1"/>
  <c r="V8" i="1"/>
  <c r="X8" i="1"/>
  <c r="R9" i="1"/>
  <c r="P9" i="1"/>
  <c r="Q9" i="1"/>
  <c r="T9" i="1"/>
  <c r="V9" i="1"/>
  <c r="X9" i="1"/>
  <c r="R10" i="1"/>
  <c r="P10" i="1"/>
  <c r="Q10" i="1"/>
  <c r="T10" i="1"/>
  <c r="V10" i="1"/>
  <c r="X10" i="1"/>
  <c r="R11" i="1"/>
  <c r="P11" i="1"/>
  <c r="Q11" i="1"/>
  <c r="T11" i="1"/>
  <c r="V11" i="1"/>
  <c r="X11" i="1"/>
  <c r="I3" i="1"/>
  <c r="U3" i="1"/>
  <c r="I4" i="1"/>
  <c r="U4" i="1"/>
  <c r="I5" i="1"/>
  <c r="U5" i="1"/>
  <c r="I6" i="1"/>
  <c r="U6" i="1"/>
  <c r="I7" i="1"/>
  <c r="U7" i="1"/>
  <c r="I8" i="1"/>
  <c r="U8" i="1"/>
  <c r="I9" i="1"/>
  <c r="U9" i="1"/>
  <c r="I10" i="1"/>
  <c r="U10" i="1"/>
  <c r="I11" i="1"/>
  <c r="U11" i="1"/>
  <c r="U2" i="5" l="1"/>
  <c r="U3" i="5"/>
  <c r="U4" i="5"/>
  <c r="U5" i="5"/>
  <c r="U6" i="5"/>
  <c r="U7" i="5"/>
  <c r="U8" i="5"/>
  <c r="U9" i="5"/>
  <c r="U10" i="5"/>
  <c r="U11" i="5"/>
  <c r="S2" i="4"/>
  <c r="T2" i="3"/>
  <c r="V2" i="3" s="1"/>
  <c r="X2" i="3" s="1"/>
  <c r="T3" i="3"/>
  <c r="V3" i="3" s="1"/>
  <c r="X3" i="3" s="1"/>
  <c r="T4" i="3"/>
  <c r="V4" i="3" s="1"/>
  <c r="X4" i="3" s="1"/>
  <c r="T5" i="3"/>
  <c r="V5" i="3" s="1"/>
  <c r="X5" i="3" s="1"/>
  <c r="T6" i="3"/>
  <c r="V6" i="3" s="1"/>
  <c r="X6" i="3" s="1"/>
  <c r="T7" i="3"/>
  <c r="V7" i="3" s="1"/>
  <c r="X7" i="3" s="1"/>
  <c r="T8" i="3"/>
  <c r="V8" i="3" s="1"/>
  <c r="X8" i="3" s="1"/>
  <c r="T9" i="3"/>
  <c r="V9" i="3" s="1"/>
  <c r="X9" i="3" s="1"/>
  <c r="T10" i="3"/>
  <c r="V10" i="3" s="1"/>
  <c r="X10" i="3" s="1"/>
  <c r="T11" i="3"/>
  <c r="V11" i="3" s="1"/>
  <c r="X11" i="3" s="1"/>
</calcChain>
</file>

<file path=xl/sharedStrings.xml><?xml version="1.0" encoding="utf-8"?>
<sst xmlns="http://schemas.openxmlformats.org/spreadsheetml/2006/main" count="221" uniqueCount="48">
  <si>
    <t>District</t>
  </si>
  <si>
    <t>Location</t>
  </si>
  <si>
    <t>Longitude</t>
  </si>
  <si>
    <t>lattitude</t>
  </si>
  <si>
    <t>Year</t>
  </si>
  <si>
    <t>pH</t>
  </si>
  <si>
    <t>EC (µS/cm)</t>
  </si>
  <si>
    <t>CO3 (mg/L)</t>
  </si>
  <si>
    <t>HCO3</t>
  </si>
  <si>
    <t>Cl (mg/L)</t>
  </si>
  <si>
    <t>F (mg/L)</t>
  </si>
  <si>
    <t>SO4</t>
  </si>
  <si>
    <t>NO3</t>
  </si>
  <si>
    <t>PO4</t>
  </si>
  <si>
    <t>Total Hardness</t>
  </si>
  <si>
    <t>Ca (meq/L)</t>
  </si>
  <si>
    <t>Mg (meq/L)</t>
  </si>
  <si>
    <t>Na (meq/L)</t>
  </si>
  <si>
    <t>K (mg/L)</t>
  </si>
  <si>
    <t>SAR</t>
  </si>
  <si>
    <t>RSC</t>
  </si>
  <si>
    <t>QSAR</t>
  </si>
  <si>
    <t>QRSC</t>
  </si>
  <si>
    <t>IWQI</t>
  </si>
  <si>
    <t>Kolar</t>
  </si>
  <si>
    <t>Vadagere</t>
  </si>
  <si>
    <t>Torlakki</t>
  </si>
  <si>
    <t xml:space="preserve"> Badikunte A</t>
  </si>
  <si>
    <t>Budikote</t>
  </si>
  <si>
    <t>Bhimaganapalli</t>
  </si>
  <si>
    <t xml:space="preserve">Avani A </t>
  </si>
  <si>
    <t xml:space="preserve">Arabi Kotanuru </t>
  </si>
  <si>
    <t>Kurugal A</t>
  </si>
  <si>
    <t xml:space="preserve">Angadonahali </t>
  </si>
  <si>
    <t xml:space="preserve">Gadarajahalli </t>
  </si>
  <si>
    <t>`</t>
  </si>
  <si>
    <t>YEAR</t>
  </si>
  <si>
    <t>Budikunte</t>
  </si>
  <si>
    <t>Chintamani A</t>
  </si>
  <si>
    <t>Gajahalli</t>
  </si>
  <si>
    <t>Upparpet</t>
  </si>
  <si>
    <t>Arabi Kottanuru</t>
  </si>
  <si>
    <t>Avani</t>
  </si>
  <si>
    <t>Angondanahalli</t>
  </si>
  <si>
    <t>KOLAR</t>
  </si>
  <si>
    <t>Devarayasamudra</t>
  </si>
  <si>
    <t>Gudibandei</t>
  </si>
  <si>
    <t>Kurudmale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</si>
</sst>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D4AF0-842A-4A1C-8B74-36DF269D9304}">
  <dimension ref="A1:AB15"/>
  <sheetViews>
    <sheetView zoomScale="88" workbookViewId="0">
      <selection activeCell="X2" sqref="X2"/>
    </sheetView>
  </sheetViews>
  <sheetFormatPr defaultRowHeight="14.45"/>
  <cols>
    <col min="1" max="1" width="12.28515625" customWidth="1"/>
    <col min="2" max="2" width="19.28515625" customWidth="1"/>
    <col min="3" max="3" width="13.28515625" customWidth="1"/>
    <col min="4" max="4" width="10.7109375" customWidth="1"/>
    <col min="7" max="7" width="13" customWidth="1"/>
    <col min="8" max="8" width="11.140625" customWidth="1"/>
    <col min="15" max="15" width="13.28515625" customWidth="1"/>
    <col min="16" max="17" width="11.7109375" customWidth="1"/>
    <col min="18" max="18" width="11.28515625" customWidth="1"/>
  </cols>
  <sheetData>
    <row r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>
        <v>40</v>
      </c>
      <c r="AB1">
        <v>40</v>
      </c>
    </row>
    <row r="2" spans="1:28">
      <c r="A2" s="3" t="s">
        <v>24</v>
      </c>
      <c r="B2" s="3" t="s">
        <v>25</v>
      </c>
      <c r="C2" s="3">
        <v>78.096599999999995</v>
      </c>
      <c r="D2" s="3">
        <v>13.047700000000001</v>
      </c>
      <c r="E2" s="3">
        <v>2023</v>
      </c>
      <c r="F2" s="3">
        <v>7.3</v>
      </c>
      <c r="G2" s="3">
        <v>1350</v>
      </c>
      <c r="H2" s="3">
        <v>0</v>
      </c>
      <c r="I2" s="3">
        <f>150/268</f>
        <v>0.55970149253731338</v>
      </c>
      <c r="J2" s="3">
        <v>113</v>
      </c>
      <c r="K2" s="3">
        <v>1.5</v>
      </c>
      <c r="L2" s="3">
        <v>12</v>
      </c>
      <c r="M2" s="3">
        <v>334</v>
      </c>
      <c r="N2" s="3">
        <v>0.1</v>
      </c>
      <c r="O2" s="3">
        <v>230</v>
      </c>
      <c r="P2" s="3">
        <f>$Y$1/56</f>
        <v>0.7142857142857143</v>
      </c>
      <c r="Q2" s="3">
        <f>24/22</f>
        <v>1.0909090909090908</v>
      </c>
      <c r="R2" s="3">
        <f>100/78</f>
        <v>1.2820512820512822</v>
      </c>
      <c r="S2" s="3">
        <v>21</v>
      </c>
      <c r="T2" s="3">
        <f>R2/(SQRT(P2+Q2/2))</f>
        <v>1.1422597999900856</v>
      </c>
      <c r="U2" s="3">
        <f t="shared" ref="U2:U11" si="0">($H2+$I2)-($P2+$Q2)</f>
        <v>-1.2454933126574919</v>
      </c>
      <c r="V2" s="3">
        <f t="shared" ref="V2:V11" si="1">($T2/10)*100</f>
        <v>11.422597999900857</v>
      </c>
      <c r="W2" s="3">
        <v>100</v>
      </c>
      <c r="X2" s="3">
        <f>(0.6*$V2+0.4*$W2)/0.6+0.4</f>
        <v>78.489264666567536</v>
      </c>
    </row>
    <row r="3" spans="1:28">
      <c r="A3" s="3" t="s">
        <v>24</v>
      </c>
      <c r="B3" s="3" t="s">
        <v>26</v>
      </c>
      <c r="C3" s="3">
        <v>78.067999999999998</v>
      </c>
      <c r="D3" s="3">
        <v>12.92</v>
      </c>
      <c r="E3" s="3">
        <v>2023</v>
      </c>
      <c r="F3" s="3">
        <v>7.25</v>
      </c>
      <c r="G3" s="3">
        <v>1750</v>
      </c>
      <c r="H3" s="3">
        <v>0</v>
      </c>
      <c r="I3" s="3">
        <f>150/317</f>
        <v>0.47318611987381703</v>
      </c>
      <c r="J3" s="3">
        <v>206</v>
      </c>
      <c r="K3" s="3">
        <v>1.7</v>
      </c>
      <c r="L3" s="3">
        <v>11</v>
      </c>
      <c r="M3" s="3">
        <v>334</v>
      </c>
      <c r="N3" s="3">
        <v>0.2</v>
      </c>
      <c r="O3" s="3">
        <v>460</v>
      </c>
      <c r="P3" s="3">
        <f>40/124</f>
        <v>0.32258064516129031</v>
      </c>
      <c r="Q3" s="3">
        <f>24/36</f>
        <v>0.66666666666666663</v>
      </c>
      <c r="R3" s="3">
        <f>100/184</f>
        <v>0.54347826086956519</v>
      </c>
      <c r="S3" s="3">
        <v>19</v>
      </c>
      <c r="T3" s="3">
        <f t="shared" ref="T3:T11" si="2">$R3/(SQRT($P3+$Q3/2))</f>
        <v>0.67105595358697601</v>
      </c>
      <c r="U3" s="3">
        <f t="shared" si="0"/>
        <v>-0.51606119195414002</v>
      </c>
      <c r="V3" s="3">
        <f t="shared" si="1"/>
        <v>6.7105595358697601</v>
      </c>
      <c r="W3" s="3">
        <v>100</v>
      </c>
      <c r="X3" s="3">
        <f t="shared" ref="X2:X11" si="3">(0.6*$V3+0.4*$W3)/0.6+0.4</f>
        <v>73.777226202536426</v>
      </c>
    </row>
    <row r="4" spans="1:28">
      <c r="A4" s="3" t="s">
        <v>24</v>
      </c>
      <c r="B4" s="3" t="s">
        <v>27</v>
      </c>
      <c r="C4" s="3">
        <v>78.12</v>
      </c>
      <c r="D4" s="3">
        <v>12.9</v>
      </c>
      <c r="E4" s="3">
        <v>2023</v>
      </c>
      <c r="F4" s="3">
        <v>7.41</v>
      </c>
      <c r="G4" s="3">
        <v>1970</v>
      </c>
      <c r="H4" s="3">
        <v>0</v>
      </c>
      <c r="I4" s="3">
        <f>150/329</f>
        <v>0.45592705167173253</v>
      </c>
      <c r="J4" s="3">
        <v>188</v>
      </c>
      <c r="K4" s="3">
        <v>1.2</v>
      </c>
      <c r="L4" s="3">
        <v>17</v>
      </c>
      <c r="M4" s="3">
        <v>598</v>
      </c>
      <c r="N4" s="3">
        <v>0.1</v>
      </c>
      <c r="O4" s="3">
        <v>420</v>
      </c>
      <c r="P4" s="3">
        <f>40/128</f>
        <v>0.3125</v>
      </c>
      <c r="Q4" s="3">
        <f>24/24</f>
        <v>1</v>
      </c>
      <c r="R4" s="3">
        <f>100/168</f>
        <v>0.59523809523809523</v>
      </c>
      <c r="S4" s="3">
        <v>135</v>
      </c>
      <c r="T4" s="3">
        <f t="shared" si="2"/>
        <v>0.66035737645860615</v>
      </c>
      <c r="U4" s="3">
        <f t="shared" si="0"/>
        <v>-0.85657294832826747</v>
      </c>
      <c r="V4" s="3">
        <f t="shared" si="1"/>
        <v>6.603573764586061</v>
      </c>
      <c r="W4" s="3">
        <v>100</v>
      </c>
      <c r="X4" s="3">
        <f t="shared" si="3"/>
        <v>73.670240431252736</v>
      </c>
    </row>
    <row r="5" spans="1:28">
      <c r="A5" s="3" t="s">
        <v>24</v>
      </c>
      <c r="B5" s="3" t="s">
        <v>28</v>
      </c>
      <c r="C5" s="3">
        <v>78.12</v>
      </c>
      <c r="D5" s="3">
        <v>12.9</v>
      </c>
      <c r="E5" s="3">
        <v>2023</v>
      </c>
      <c r="F5" s="3">
        <v>6.92</v>
      </c>
      <c r="G5" s="3">
        <v>1640</v>
      </c>
      <c r="H5" s="3">
        <v>0</v>
      </c>
      <c r="I5" s="3">
        <f>150/317</f>
        <v>0.47318611987381703</v>
      </c>
      <c r="J5" s="3">
        <v>191</v>
      </c>
      <c r="K5" s="3">
        <v>1.5</v>
      </c>
      <c r="L5" s="3">
        <v>14</v>
      </c>
      <c r="M5" s="3">
        <v>331</v>
      </c>
      <c r="N5" s="3">
        <v>0.1</v>
      </c>
      <c r="O5" s="3">
        <v>380</v>
      </c>
      <c r="P5" s="3">
        <f>40/104</f>
        <v>0.38461538461538464</v>
      </c>
      <c r="Q5" s="3">
        <f>24/29</f>
        <v>0.82758620689655171</v>
      </c>
      <c r="R5" s="3">
        <f>100/143</f>
        <v>0.69930069930069927</v>
      </c>
      <c r="S5" s="3">
        <v>82</v>
      </c>
      <c r="T5" s="3">
        <f t="shared" si="2"/>
        <v>0.7826208067021122</v>
      </c>
      <c r="U5" s="3">
        <f t="shared" si="0"/>
        <v>-0.73901547163811943</v>
      </c>
      <c r="V5" s="3">
        <f t="shared" si="1"/>
        <v>7.8262080670211214</v>
      </c>
      <c r="W5" s="3">
        <v>100</v>
      </c>
      <c r="X5" s="3">
        <f t="shared" si="3"/>
        <v>74.892874733687805</v>
      </c>
    </row>
    <row r="6" spans="1:28">
      <c r="A6" s="3" t="s">
        <v>24</v>
      </c>
      <c r="B6" s="3" t="s">
        <v>29</v>
      </c>
      <c r="C6" s="3">
        <v>78.168000000000006</v>
      </c>
      <c r="D6" s="3">
        <v>12.843</v>
      </c>
      <c r="E6" s="3">
        <v>2023</v>
      </c>
      <c r="F6" s="3">
        <v>7.48</v>
      </c>
      <c r="G6" s="3">
        <v>1140</v>
      </c>
      <c r="H6" s="3">
        <v>0</v>
      </c>
      <c r="I6" s="3">
        <f>150/220</f>
        <v>0.68181818181818177</v>
      </c>
      <c r="J6" s="3">
        <v>78</v>
      </c>
      <c r="K6" s="3">
        <v>2.4</v>
      </c>
      <c r="L6" s="3">
        <v>16</v>
      </c>
      <c r="M6" s="3">
        <v>293</v>
      </c>
      <c r="N6" s="3">
        <v>0.2</v>
      </c>
      <c r="O6" s="3">
        <v>380</v>
      </c>
      <c r="P6" s="3">
        <f>40/72</f>
        <v>0.55555555555555558</v>
      </c>
      <c r="Q6" s="3">
        <f>24/49</f>
        <v>0.48979591836734693</v>
      </c>
      <c r="R6" s="3">
        <f>100/69</f>
        <v>1.4492753623188406</v>
      </c>
      <c r="S6" s="3">
        <v>6</v>
      </c>
      <c r="T6" s="3">
        <f t="shared" si="2"/>
        <v>1.6198800295158462</v>
      </c>
      <c r="U6" s="3">
        <f t="shared" si="0"/>
        <v>-0.36353329210472063</v>
      </c>
      <c r="V6" s="3">
        <f t="shared" si="1"/>
        <v>16.19880029515846</v>
      </c>
      <c r="W6" s="3">
        <v>100</v>
      </c>
      <c r="X6" s="3">
        <f t="shared" si="3"/>
        <v>83.265466961825126</v>
      </c>
    </row>
    <row r="7" spans="1:28">
      <c r="A7" s="3" t="s">
        <v>24</v>
      </c>
      <c r="B7" s="3" t="s">
        <v>30</v>
      </c>
      <c r="C7" s="3">
        <v>78.326999999999998</v>
      </c>
      <c r="D7" s="3">
        <v>13.1067</v>
      </c>
      <c r="E7" s="3">
        <v>2023</v>
      </c>
      <c r="F7" s="3">
        <v>6.53</v>
      </c>
      <c r="G7" s="3">
        <v>320</v>
      </c>
      <c r="H7" s="3">
        <v>0</v>
      </c>
      <c r="I7" s="3">
        <f>150/92</f>
        <v>1.6304347826086956</v>
      </c>
      <c r="J7" s="3">
        <v>14</v>
      </c>
      <c r="K7" s="3">
        <v>0.66</v>
      </c>
      <c r="L7" s="3">
        <v>48</v>
      </c>
      <c r="M7" s="3">
        <v>1</v>
      </c>
      <c r="N7" s="3">
        <v>0.1</v>
      </c>
      <c r="O7" s="3">
        <v>115</v>
      </c>
      <c r="P7" s="3">
        <f>$Y$1/26</f>
        <v>1.5384615384615385</v>
      </c>
      <c r="Q7" s="3">
        <f>24/12</f>
        <v>2</v>
      </c>
      <c r="R7" s="3">
        <f>100/20</f>
        <v>5</v>
      </c>
      <c r="S7" s="3">
        <v>4</v>
      </c>
      <c r="T7" s="3">
        <f t="shared" si="2"/>
        <v>3.1382295723042395</v>
      </c>
      <c r="U7" s="3">
        <f t="shared" si="0"/>
        <v>-1.9080267558528428</v>
      </c>
      <c r="V7" s="3">
        <f t="shared" si="1"/>
        <v>31.382295723042397</v>
      </c>
      <c r="W7" s="3">
        <v>100</v>
      </c>
      <c r="X7" s="3">
        <f t="shared" si="3"/>
        <v>98.448962389709081</v>
      </c>
    </row>
    <row r="8" spans="1:28">
      <c r="A8" s="3" t="s">
        <v>24</v>
      </c>
      <c r="B8" s="3" t="s">
        <v>31</v>
      </c>
      <c r="C8" s="3">
        <v>78.042000000000002</v>
      </c>
      <c r="D8" s="3">
        <v>13.1213</v>
      </c>
      <c r="E8" s="3">
        <v>2023</v>
      </c>
      <c r="F8" s="3">
        <v>6.53</v>
      </c>
      <c r="G8" s="3">
        <v>200</v>
      </c>
      <c r="H8" s="3">
        <v>0</v>
      </c>
      <c r="I8" s="3">
        <f>150/73</f>
        <v>2.0547945205479454</v>
      </c>
      <c r="J8" s="3">
        <v>21</v>
      </c>
      <c r="K8" s="3">
        <v>0.92</v>
      </c>
      <c r="L8" s="3">
        <v>10</v>
      </c>
      <c r="M8" s="3">
        <v>1</v>
      </c>
      <c r="N8" s="3">
        <v>0.1</v>
      </c>
      <c r="O8" s="3">
        <v>55</v>
      </c>
      <c r="P8" s="3">
        <f>40/12</f>
        <v>3.3333333333333335</v>
      </c>
      <c r="Q8" s="3">
        <f>24/6</f>
        <v>4</v>
      </c>
      <c r="R8" s="3">
        <f>100/18</f>
        <v>5.5555555555555554</v>
      </c>
      <c r="S8" s="3">
        <v>2</v>
      </c>
      <c r="T8" s="3">
        <f t="shared" si="2"/>
        <v>2.4056261216234405</v>
      </c>
      <c r="U8" s="3">
        <f t="shared" si="0"/>
        <v>-5.2785388127853885</v>
      </c>
      <c r="V8" s="3">
        <f t="shared" si="1"/>
        <v>24.056261216234404</v>
      </c>
      <c r="W8" s="3">
        <v>100</v>
      </c>
      <c r="X8" s="3">
        <f t="shared" si="3"/>
        <v>91.122927882901081</v>
      </c>
    </row>
    <row r="9" spans="1:28">
      <c r="A9" s="3" t="s">
        <v>24</v>
      </c>
      <c r="B9" s="3" t="s">
        <v>32</v>
      </c>
      <c r="C9" s="3">
        <v>77.987700000000004</v>
      </c>
      <c r="D9" s="3">
        <v>13.2042</v>
      </c>
      <c r="E9" s="3">
        <v>2023</v>
      </c>
      <c r="F9" s="3">
        <v>7.24</v>
      </c>
      <c r="G9" s="3">
        <v>2770</v>
      </c>
      <c r="H9" s="3">
        <v>0</v>
      </c>
      <c r="I9" s="3">
        <f>150/439</f>
        <v>0.34168564920273348</v>
      </c>
      <c r="J9" s="3">
        <v>610</v>
      </c>
      <c r="K9" s="3">
        <v>0.89</v>
      </c>
      <c r="L9" s="3">
        <v>101</v>
      </c>
      <c r="M9" s="3">
        <v>47</v>
      </c>
      <c r="N9" s="3">
        <v>0.4</v>
      </c>
      <c r="O9" s="3">
        <v>900</v>
      </c>
      <c r="P9" s="3">
        <f>40/208</f>
        <v>0.19230769230769232</v>
      </c>
      <c r="Q9" s="3">
        <f>24/92</f>
        <v>0.2608695652173913</v>
      </c>
      <c r="R9" s="3">
        <f>100/192</f>
        <v>0.52083333333333337</v>
      </c>
      <c r="S9" s="3">
        <v>8</v>
      </c>
      <c r="T9" s="3">
        <f t="shared" si="2"/>
        <v>0.91679177588692906</v>
      </c>
      <c r="U9" s="3">
        <f t="shared" si="0"/>
        <v>-0.11149160832235017</v>
      </c>
      <c r="V9" s="3">
        <f t="shared" si="1"/>
        <v>9.1679177588692902</v>
      </c>
      <c r="W9" s="3">
        <v>100</v>
      </c>
      <c r="X9" s="3">
        <f t="shared" si="3"/>
        <v>76.234584425535971</v>
      </c>
    </row>
    <row r="10" spans="1:28">
      <c r="A10" s="3" t="s">
        <v>24</v>
      </c>
      <c r="B10" s="3" t="s">
        <v>33</v>
      </c>
      <c r="C10" s="3">
        <v>78.363399999999999</v>
      </c>
      <c r="D10" s="3">
        <v>13.065799999999999</v>
      </c>
      <c r="E10" s="3">
        <v>2023</v>
      </c>
      <c r="F10" s="3">
        <v>7.3</v>
      </c>
      <c r="G10" s="3">
        <v>1170</v>
      </c>
      <c r="H10" s="3">
        <v>0</v>
      </c>
      <c r="I10" s="3">
        <f>150/458</f>
        <v>0.32751091703056767</v>
      </c>
      <c r="J10" s="3">
        <v>121</v>
      </c>
      <c r="K10" s="3">
        <v>1.3</v>
      </c>
      <c r="L10" s="3">
        <v>12</v>
      </c>
      <c r="M10" s="3">
        <v>24</v>
      </c>
      <c r="N10" s="3">
        <v>0.1</v>
      </c>
      <c r="O10" s="3">
        <v>230</v>
      </c>
      <c r="P10" s="3">
        <f>40/52</f>
        <v>0.76923076923076927</v>
      </c>
      <c r="Q10" s="3">
        <f>24/24</f>
        <v>1</v>
      </c>
      <c r="R10" s="3">
        <f>100/155</f>
        <v>0.64516129032258063</v>
      </c>
      <c r="S10" s="3">
        <v>10</v>
      </c>
      <c r="T10" s="3">
        <f t="shared" si="2"/>
        <v>0.5726615255474804</v>
      </c>
      <c r="U10" s="3">
        <f t="shared" si="0"/>
        <v>-1.4417198522002015</v>
      </c>
      <c r="V10" s="3">
        <f t="shared" si="1"/>
        <v>5.7266152554748038</v>
      </c>
      <c r="W10" s="3">
        <v>100</v>
      </c>
      <c r="X10" s="3">
        <f t="shared" si="3"/>
        <v>72.793281922141475</v>
      </c>
    </row>
    <row r="11" spans="1:28">
      <c r="A11" s="3" t="s">
        <v>24</v>
      </c>
      <c r="B11" s="3" t="s">
        <v>34</v>
      </c>
      <c r="C11" s="3">
        <v>78.3</v>
      </c>
      <c r="D11" s="3">
        <v>12.964399999999999</v>
      </c>
      <c r="E11" s="3">
        <v>2023</v>
      </c>
      <c r="F11" s="3">
        <v>7.55</v>
      </c>
      <c r="G11" s="3">
        <v>1680</v>
      </c>
      <c r="H11" s="3">
        <v>0</v>
      </c>
      <c r="I11" s="3">
        <f>150/378</f>
        <v>0.3968253968253968</v>
      </c>
      <c r="J11" s="3">
        <v>184</v>
      </c>
      <c r="K11" s="3">
        <v>2.2000000000000002</v>
      </c>
      <c r="L11" s="3">
        <v>13</v>
      </c>
      <c r="M11" s="3">
        <v>294</v>
      </c>
      <c r="N11" s="3">
        <v>0.2</v>
      </c>
      <c r="O11" s="3">
        <v>480</v>
      </c>
      <c r="P11" s="3">
        <f>40/132</f>
        <v>0.30303030303030304</v>
      </c>
      <c r="Q11" s="3">
        <f>24/36</f>
        <v>0.66666666666666663</v>
      </c>
      <c r="R11" s="3">
        <f>100/142</f>
        <v>0.70422535211267601</v>
      </c>
      <c r="S11" s="3">
        <v>51</v>
      </c>
      <c r="T11" s="3">
        <f t="shared" si="2"/>
        <v>0.8827931979267728</v>
      </c>
      <c r="U11" s="3">
        <f t="shared" si="0"/>
        <v>-0.57287157287157298</v>
      </c>
      <c r="V11" s="3">
        <f t="shared" si="1"/>
        <v>8.8279319792677278</v>
      </c>
      <c r="W11" s="3">
        <v>100</v>
      </c>
      <c r="X11" s="3">
        <f t="shared" si="3"/>
        <v>75.894598645934408</v>
      </c>
    </row>
    <row r="15" spans="1:28">
      <c r="D15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28BA4-8A50-47FD-A038-A01B221C7EC7}">
  <dimension ref="A1:Y11"/>
  <sheetViews>
    <sheetView topLeftCell="F1" workbookViewId="0">
      <selection activeCell="R11" sqref="R11"/>
    </sheetView>
  </sheetViews>
  <sheetFormatPr defaultRowHeight="15"/>
  <sheetData>
    <row r="1" spans="1:25">
      <c r="A1" s="2" t="s">
        <v>0</v>
      </c>
      <c r="B1" s="2" t="s">
        <v>1</v>
      </c>
      <c r="C1" s="2" t="s">
        <v>2</v>
      </c>
      <c r="D1" s="2" t="s">
        <v>3</v>
      </c>
      <c r="F1" t="s">
        <v>36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t="s">
        <v>23</v>
      </c>
    </row>
    <row r="2" spans="1:25">
      <c r="A2" s="3" t="s">
        <v>24</v>
      </c>
      <c r="B2" s="3" t="s">
        <v>25</v>
      </c>
      <c r="C2" s="3">
        <v>78.096599999999995</v>
      </c>
      <c r="D2" s="3">
        <v>13.047700000000001</v>
      </c>
      <c r="F2">
        <v>2022</v>
      </c>
      <c r="G2">
        <v>8.5</v>
      </c>
      <c r="H2">
        <v>1285</v>
      </c>
      <c r="I2">
        <v>30</v>
      </c>
      <c r="J2">
        <f>150/165</f>
        <v>0.90909090909090906</v>
      </c>
      <c r="K2">
        <v>238</v>
      </c>
      <c r="L2">
        <v>0.5</v>
      </c>
      <c r="M2">
        <v>60</v>
      </c>
      <c r="N2">
        <v>44</v>
      </c>
      <c r="O2">
        <v>0</v>
      </c>
      <c r="P2">
        <v>285</v>
      </c>
      <c r="Q2">
        <f>40/44</f>
        <v>0.90909090909090906</v>
      </c>
      <c r="R2">
        <f>24/42</f>
        <v>0.5714285714285714</v>
      </c>
      <c r="S2">
        <f>100/149</f>
        <v>0.67114093959731547</v>
      </c>
      <c r="T2">
        <v>5</v>
      </c>
      <c r="U2">
        <f t="shared" ref="U2:U11" si="0">S2/(SQRT(Q2+R2/2))</f>
        <v>0.61399548913045854</v>
      </c>
      <c r="V2">
        <f t="shared" ref="V2:V11" si="1">($H2+$I2)-($P2+$Q2)</f>
        <v>1029.090909090909</v>
      </c>
      <c r="W2">
        <f t="shared" ref="W2:W11" si="2">($T2/10)*100</f>
        <v>50</v>
      </c>
      <c r="X2">
        <v>100</v>
      </c>
      <c r="Y2">
        <v>74.346270000000004</v>
      </c>
    </row>
    <row r="3" spans="1:25">
      <c r="A3" s="3" t="s">
        <v>24</v>
      </c>
      <c r="B3" s="3" t="s">
        <v>26</v>
      </c>
      <c r="C3" s="3">
        <v>78.067999999999998</v>
      </c>
      <c r="D3" s="3">
        <v>12.92</v>
      </c>
      <c r="F3">
        <v>2022</v>
      </c>
      <c r="G3">
        <v>8.3000000000000007</v>
      </c>
      <c r="H3">
        <v>1053</v>
      </c>
      <c r="I3">
        <v>0</v>
      </c>
      <c r="J3">
        <f>150/122</f>
        <v>1.2295081967213115</v>
      </c>
      <c r="K3">
        <v>165</v>
      </c>
      <c r="L3">
        <v>0.84</v>
      </c>
      <c r="M3">
        <v>55</v>
      </c>
      <c r="N3">
        <v>141</v>
      </c>
      <c r="O3">
        <v>0</v>
      </c>
      <c r="P3">
        <v>215</v>
      </c>
      <c r="Q3">
        <f>40/40</f>
        <v>1</v>
      </c>
      <c r="R3">
        <f>24/28</f>
        <v>0.8571428571428571</v>
      </c>
      <c r="S3">
        <f>100/135</f>
        <v>0.7407407407407407</v>
      </c>
      <c r="T3">
        <v>4</v>
      </c>
      <c r="U3">
        <f t="shared" si="0"/>
        <v>0.61974816780301889</v>
      </c>
      <c r="V3">
        <f t="shared" si="1"/>
        <v>837</v>
      </c>
      <c r="W3">
        <f t="shared" si="2"/>
        <v>40</v>
      </c>
      <c r="X3">
        <v>100</v>
      </c>
      <c r="Y3">
        <v>71.532759999999996</v>
      </c>
    </row>
    <row r="4" spans="1:25">
      <c r="A4" s="3" t="s">
        <v>24</v>
      </c>
      <c r="B4" s="3" t="s">
        <v>27</v>
      </c>
      <c r="C4" s="3">
        <v>78.12</v>
      </c>
      <c r="D4" s="3">
        <v>12.9</v>
      </c>
      <c r="F4">
        <v>2022</v>
      </c>
      <c r="G4">
        <v>9.41</v>
      </c>
      <c r="H4">
        <v>2080</v>
      </c>
      <c r="I4">
        <v>69</v>
      </c>
      <c r="J4">
        <f>150/369</f>
        <v>0.4065040650406504</v>
      </c>
      <c r="K4">
        <v>308</v>
      </c>
      <c r="L4">
        <v>1.02</v>
      </c>
      <c r="M4">
        <v>135</v>
      </c>
      <c r="N4">
        <v>73</v>
      </c>
      <c r="O4">
        <v>0</v>
      </c>
      <c r="P4">
        <v>345</v>
      </c>
      <c r="Q4">
        <f>40/80</f>
        <v>0.5</v>
      </c>
      <c r="R4">
        <f>24/35</f>
        <v>0.68571428571428572</v>
      </c>
      <c r="S4">
        <f>100/336</f>
        <v>0.29761904761904762</v>
      </c>
      <c r="T4">
        <v>47</v>
      </c>
      <c r="U4">
        <f t="shared" si="0"/>
        <v>0.32417814796326933</v>
      </c>
      <c r="V4">
        <f t="shared" si="1"/>
        <v>1803.5</v>
      </c>
      <c r="W4">
        <f t="shared" si="2"/>
        <v>470</v>
      </c>
      <c r="X4">
        <v>100</v>
      </c>
      <c r="Y4">
        <v>72.526750000000007</v>
      </c>
    </row>
    <row r="5" spans="1:25">
      <c r="A5" s="3" t="s">
        <v>24</v>
      </c>
      <c r="B5" s="3" t="s">
        <v>28</v>
      </c>
      <c r="C5" s="3">
        <v>78.12</v>
      </c>
      <c r="D5" s="3">
        <v>12.9</v>
      </c>
      <c r="F5">
        <v>2022</v>
      </c>
      <c r="G5">
        <v>9.08</v>
      </c>
      <c r="H5">
        <v>1661</v>
      </c>
      <c r="I5">
        <v>78</v>
      </c>
      <c r="J5">
        <f>150/146</f>
        <v>1.0273972602739727</v>
      </c>
      <c r="K5">
        <v>231</v>
      </c>
      <c r="L5">
        <v>1.23</v>
      </c>
      <c r="M5">
        <v>143</v>
      </c>
      <c r="N5">
        <v>44</v>
      </c>
      <c r="O5">
        <v>0</v>
      </c>
      <c r="P5">
        <v>275</v>
      </c>
      <c r="Q5">
        <f>40/60</f>
        <v>0.66666666666666663</v>
      </c>
      <c r="R5">
        <f>24/30</f>
        <v>0.8</v>
      </c>
      <c r="S5">
        <f>100/210</f>
        <v>0.47619047619047616</v>
      </c>
      <c r="T5">
        <v>9</v>
      </c>
      <c r="U5">
        <f t="shared" si="0"/>
        <v>0.46106944597707344</v>
      </c>
      <c r="V5">
        <f t="shared" si="1"/>
        <v>1463.3333333333333</v>
      </c>
      <c r="W5">
        <f t="shared" si="2"/>
        <v>90</v>
      </c>
      <c r="X5">
        <v>100</v>
      </c>
      <c r="Y5">
        <v>73.754379999999998</v>
      </c>
    </row>
    <row r="6" spans="1:25">
      <c r="A6" s="3" t="s">
        <v>24</v>
      </c>
      <c r="B6" s="3" t="s">
        <v>29</v>
      </c>
      <c r="C6" s="3">
        <v>78.168000000000006</v>
      </c>
      <c r="D6" s="3">
        <v>12.843</v>
      </c>
      <c r="F6">
        <v>2022</v>
      </c>
      <c r="G6">
        <v>8.4600000000000009</v>
      </c>
      <c r="H6">
        <v>602</v>
      </c>
      <c r="I6">
        <v>16</v>
      </c>
      <c r="J6">
        <f>150/92</f>
        <v>1.6304347826086956</v>
      </c>
      <c r="K6">
        <v>38</v>
      </c>
      <c r="L6">
        <v>0.57999999999999996</v>
      </c>
      <c r="M6">
        <v>22</v>
      </c>
      <c r="N6">
        <v>49</v>
      </c>
      <c r="O6">
        <v>0</v>
      </c>
      <c r="P6">
        <v>165</v>
      </c>
      <c r="Q6">
        <f>40/30</f>
        <v>1.3333333333333333</v>
      </c>
      <c r="R6">
        <f>24/22</f>
        <v>1.0909090909090908</v>
      </c>
      <c r="S6">
        <f>100/21</f>
        <v>4.7619047619047619</v>
      </c>
      <c r="T6">
        <v>3</v>
      </c>
      <c r="U6">
        <f t="shared" si="0"/>
        <v>3.4740961222422859</v>
      </c>
      <c r="V6">
        <f t="shared" si="1"/>
        <v>451.66666666666663</v>
      </c>
      <c r="W6">
        <f t="shared" si="2"/>
        <v>30</v>
      </c>
      <c r="X6">
        <v>100</v>
      </c>
      <c r="Y6">
        <v>81.347080000000005</v>
      </c>
    </row>
    <row r="7" spans="1:25">
      <c r="A7" s="3" t="s">
        <v>24</v>
      </c>
      <c r="B7" s="3" t="s">
        <v>30</v>
      </c>
      <c r="C7" s="3">
        <v>78.326999999999998</v>
      </c>
      <c r="D7" s="3">
        <v>13.1067</v>
      </c>
      <c r="F7">
        <v>2022</v>
      </c>
      <c r="G7">
        <v>8.09</v>
      </c>
      <c r="H7">
        <v>269</v>
      </c>
      <c r="I7">
        <v>0</v>
      </c>
      <c r="J7">
        <f>150/85</f>
        <v>1.7647058823529411</v>
      </c>
      <c r="K7">
        <v>25</v>
      </c>
      <c r="L7">
        <v>0.22</v>
      </c>
      <c r="M7">
        <v>20</v>
      </c>
      <c r="N7">
        <v>1</v>
      </c>
      <c r="O7">
        <v>0</v>
      </c>
      <c r="P7">
        <v>75</v>
      </c>
      <c r="Q7">
        <f>40/16</f>
        <v>2.5</v>
      </c>
      <c r="R7">
        <f>24/8</f>
        <v>3</v>
      </c>
      <c r="S7">
        <f>100/22</f>
        <v>4.5454545454545459</v>
      </c>
      <c r="T7">
        <v>0</v>
      </c>
      <c r="U7">
        <f t="shared" si="0"/>
        <v>2.2727272727272729</v>
      </c>
      <c r="V7">
        <f t="shared" si="1"/>
        <v>191.5</v>
      </c>
      <c r="W7">
        <f t="shared" si="2"/>
        <v>0</v>
      </c>
      <c r="X7">
        <v>100</v>
      </c>
      <c r="Y7">
        <v>88.653890000000004</v>
      </c>
    </row>
    <row r="8" spans="1:25">
      <c r="A8" s="3" t="s">
        <v>24</v>
      </c>
      <c r="B8" s="3" t="s">
        <v>31</v>
      </c>
      <c r="C8" s="3">
        <v>78.042000000000002</v>
      </c>
      <c r="D8" s="3">
        <v>13.1213</v>
      </c>
      <c r="F8">
        <v>2022</v>
      </c>
      <c r="G8">
        <v>8.39</v>
      </c>
      <c r="H8">
        <v>373</v>
      </c>
      <c r="I8">
        <v>15</v>
      </c>
      <c r="J8">
        <f>150/80</f>
        <v>1.875</v>
      </c>
      <c r="K8">
        <v>46</v>
      </c>
      <c r="L8">
        <v>0.75</v>
      </c>
      <c r="M8">
        <v>16</v>
      </c>
      <c r="N8">
        <v>15</v>
      </c>
      <c r="O8">
        <v>0</v>
      </c>
      <c r="P8">
        <v>115</v>
      </c>
      <c r="Q8">
        <f>40/22</f>
        <v>1.8181818181818181</v>
      </c>
      <c r="R8">
        <f>24/15</f>
        <v>1.6</v>
      </c>
      <c r="S8">
        <f>100/29</f>
        <v>3.4482758620689653</v>
      </c>
      <c r="T8">
        <v>0</v>
      </c>
      <c r="U8">
        <f t="shared" si="0"/>
        <v>2.1310915192803628</v>
      </c>
      <c r="V8">
        <f t="shared" si="1"/>
        <v>271.18181818181819</v>
      </c>
      <c r="W8">
        <f t="shared" si="2"/>
        <v>0</v>
      </c>
      <c r="X8">
        <v>100</v>
      </c>
      <c r="Y8">
        <v>87.543199999999999</v>
      </c>
    </row>
    <row r="9" spans="1:25">
      <c r="A9" s="3" t="s">
        <v>24</v>
      </c>
      <c r="B9" s="3" t="s">
        <v>32</v>
      </c>
      <c r="C9" s="3">
        <v>77.987700000000004</v>
      </c>
      <c r="D9" s="3">
        <v>13.2042</v>
      </c>
      <c r="F9">
        <v>2022</v>
      </c>
      <c r="G9">
        <v>8.5500000000000007</v>
      </c>
      <c r="H9">
        <v>1476</v>
      </c>
      <c r="I9">
        <v>51</v>
      </c>
      <c r="J9">
        <f>150/171</f>
        <v>0.8771929824561403</v>
      </c>
      <c r="K9">
        <v>266</v>
      </c>
      <c r="L9">
        <v>0.43</v>
      </c>
      <c r="M9">
        <v>98</v>
      </c>
      <c r="N9">
        <v>17</v>
      </c>
      <c r="O9">
        <v>0</v>
      </c>
      <c r="P9">
        <v>295</v>
      </c>
      <c r="Q9">
        <f>40/52</f>
        <v>0.76923076923076927</v>
      </c>
      <c r="R9">
        <f>24/40</f>
        <v>0.6</v>
      </c>
      <c r="S9">
        <f>100/125</f>
        <v>0.8</v>
      </c>
      <c r="T9">
        <v>26</v>
      </c>
      <c r="U9">
        <f t="shared" si="0"/>
        <v>0.7736673387697951</v>
      </c>
      <c r="V9">
        <f t="shared" si="1"/>
        <v>1231.2307692307693</v>
      </c>
      <c r="W9">
        <f t="shared" si="2"/>
        <v>260</v>
      </c>
      <c r="X9">
        <v>100</v>
      </c>
      <c r="Y9">
        <v>75.894220000000004</v>
      </c>
    </row>
    <row r="10" spans="1:25">
      <c r="A10" s="3" t="s">
        <v>24</v>
      </c>
      <c r="B10" s="3" t="s">
        <v>33</v>
      </c>
      <c r="C10" s="3">
        <v>78.363399999999999</v>
      </c>
      <c r="D10" s="3">
        <v>13.065799999999999</v>
      </c>
      <c r="F10">
        <v>2022</v>
      </c>
      <c r="G10">
        <v>9.27</v>
      </c>
      <c r="H10">
        <v>2430</v>
      </c>
      <c r="I10">
        <v>68</v>
      </c>
      <c r="J10">
        <f>150/283</f>
        <v>0.53003533568904593</v>
      </c>
      <c r="K10">
        <v>355</v>
      </c>
      <c r="L10">
        <v>1.3</v>
      </c>
      <c r="M10">
        <v>152</v>
      </c>
      <c r="N10">
        <v>257</v>
      </c>
      <c r="O10">
        <v>0</v>
      </c>
      <c r="P10">
        <v>375</v>
      </c>
      <c r="Q10">
        <f>40/52</f>
        <v>0.76923076923076927</v>
      </c>
      <c r="R10">
        <f>24/59</f>
        <v>0.40677966101694918</v>
      </c>
      <c r="S10">
        <f>100/402</f>
        <v>0.24875621890547264</v>
      </c>
      <c r="T10">
        <v>12</v>
      </c>
      <c r="U10">
        <f t="shared" si="0"/>
        <v>0.25223317995043848</v>
      </c>
      <c r="V10">
        <f t="shared" si="1"/>
        <v>2122.2307692307691</v>
      </c>
      <c r="W10">
        <f t="shared" si="2"/>
        <v>120</v>
      </c>
      <c r="X10">
        <v>100</v>
      </c>
      <c r="Y10">
        <v>70.649929999999998</v>
      </c>
    </row>
    <row r="11" spans="1:25">
      <c r="A11" s="3" t="s">
        <v>24</v>
      </c>
      <c r="B11" s="3" t="s">
        <v>34</v>
      </c>
      <c r="C11" s="3">
        <v>78.3</v>
      </c>
      <c r="D11" s="3">
        <v>12.964399999999999</v>
      </c>
      <c r="F11">
        <v>2022</v>
      </c>
      <c r="G11">
        <v>8.4499999999999993</v>
      </c>
      <c r="H11">
        <v>1211</v>
      </c>
      <c r="I11">
        <v>33</v>
      </c>
      <c r="J11">
        <f>150/189</f>
        <v>0.79365079365079361</v>
      </c>
      <c r="K11">
        <v>183</v>
      </c>
      <c r="L11">
        <v>1.35</v>
      </c>
      <c r="M11">
        <v>117</v>
      </c>
      <c r="N11">
        <v>5</v>
      </c>
      <c r="O11">
        <v>0</v>
      </c>
      <c r="P11">
        <v>150</v>
      </c>
      <c r="Q11">
        <f>40/38</f>
        <v>1.0526315789473684</v>
      </c>
      <c r="R11">
        <f>24/13</f>
        <v>1.8461538461538463</v>
      </c>
      <c r="S11">
        <f>100/174</f>
        <v>0.57471264367816088</v>
      </c>
      <c r="T11">
        <v>33</v>
      </c>
      <c r="U11">
        <f t="shared" si="0"/>
        <v>0.40887383277989309</v>
      </c>
      <c r="V11">
        <f t="shared" si="1"/>
        <v>1092.9473684210527</v>
      </c>
      <c r="W11">
        <f t="shared" si="2"/>
        <v>330</v>
      </c>
      <c r="X11">
        <v>100</v>
      </c>
      <c r="Y11">
        <v>73.756820000000005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C5623-ABD4-486D-AF04-458914F7D951}">
  <dimension ref="A1:X11"/>
  <sheetViews>
    <sheetView topLeftCell="O1" workbookViewId="0">
      <selection activeCell="F1" sqref="F1:W11"/>
    </sheetView>
  </sheetViews>
  <sheetFormatPr defaultRowHeight="14.45"/>
  <cols>
    <col min="2" max="2" width="16.28515625" customWidth="1"/>
    <col min="3" max="3" width="11" customWidth="1"/>
    <col min="7" max="7" width="13.140625" customWidth="1"/>
    <col min="8" max="8" width="12.42578125" customWidth="1"/>
    <col min="10" max="10" width="11.5703125" customWidth="1"/>
    <col min="11" max="11" width="12" customWidth="1"/>
    <col min="15" max="15" width="15.28515625" customWidth="1"/>
    <col min="16" max="16" width="12.28515625" customWidth="1"/>
    <col min="17" max="17" width="12.85546875" customWidth="1"/>
    <col min="18" max="18" width="12.28515625" customWidth="1"/>
    <col min="19" max="19" width="10.855468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28</v>
      </c>
      <c r="C2">
        <v>12.9053</v>
      </c>
      <c r="D2">
        <v>78.131699999999995</v>
      </c>
      <c r="E2">
        <v>2019</v>
      </c>
      <c r="F2">
        <v>8.5</v>
      </c>
      <c r="G2">
        <v>1285</v>
      </c>
      <c r="H2">
        <v>30</v>
      </c>
      <c r="I2">
        <f>150/165</f>
        <v>0.90909090909090906</v>
      </c>
      <c r="J2">
        <v>238</v>
      </c>
      <c r="K2">
        <v>0.5</v>
      </c>
      <c r="L2">
        <v>60</v>
      </c>
      <c r="M2">
        <v>44</v>
      </c>
      <c r="N2">
        <v>0</v>
      </c>
      <c r="O2">
        <v>285</v>
      </c>
      <c r="P2">
        <f>40/44</f>
        <v>0.90909090909090906</v>
      </c>
      <c r="Q2">
        <f>24/42</f>
        <v>0.5714285714285714</v>
      </c>
      <c r="R2">
        <f>100/149</f>
        <v>0.67114093959731547</v>
      </c>
      <c r="S2">
        <v>5</v>
      </c>
      <c r="T2">
        <f t="shared" ref="T2:T11" si="0">R2/(SQRT(P2+Q2/2))</f>
        <v>0.61399548913045854</v>
      </c>
      <c r="U2">
        <f t="shared" ref="U2:U11" si="1">($H2+$I2)-($P2+$Q2)</f>
        <v>29.428571428571431</v>
      </c>
      <c r="V2">
        <f t="shared" ref="V2:V11" si="2">($T2/10)*100</f>
        <v>6.1399548913045852</v>
      </c>
      <c r="W2">
        <v>100</v>
      </c>
      <c r="X2">
        <f t="shared" ref="X2:X11" si="3">(0.6*$V2+0.4*$W2)/0.6+0.4</f>
        <v>73.20662155797126</v>
      </c>
    </row>
    <row r="3" spans="1:24">
      <c r="A3" t="s">
        <v>24</v>
      </c>
      <c r="B3" t="s">
        <v>37</v>
      </c>
      <c r="C3">
        <v>12.905799999999999</v>
      </c>
      <c r="D3">
        <v>78.1297</v>
      </c>
      <c r="E3">
        <v>2019</v>
      </c>
      <c r="F3">
        <v>8.3000000000000007</v>
      </c>
      <c r="G3">
        <v>1053</v>
      </c>
      <c r="H3">
        <v>0</v>
      </c>
      <c r="I3">
        <f>150/122</f>
        <v>1.2295081967213115</v>
      </c>
      <c r="J3">
        <v>165</v>
      </c>
      <c r="K3">
        <v>0.84</v>
      </c>
      <c r="L3">
        <v>55</v>
      </c>
      <c r="M3">
        <v>141</v>
      </c>
      <c r="N3">
        <v>0</v>
      </c>
      <c r="O3">
        <v>215</v>
      </c>
      <c r="P3">
        <f>40/40</f>
        <v>1</v>
      </c>
      <c r="Q3">
        <f>24/28</f>
        <v>0.8571428571428571</v>
      </c>
      <c r="R3">
        <f>100/135</f>
        <v>0.7407407407407407</v>
      </c>
      <c r="S3">
        <v>4</v>
      </c>
      <c r="T3">
        <f t="shared" si="0"/>
        <v>0.61974816780301889</v>
      </c>
      <c r="U3">
        <f t="shared" si="1"/>
        <v>-0.6276346604215457</v>
      </c>
      <c r="V3">
        <f t="shared" si="2"/>
        <v>6.1974816780301891</v>
      </c>
      <c r="W3">
        <v>100</v>
      </c>
      <c r="X3">
        <f t="shared" si="3"/>
        <v>73.264148344696864</v>
      </c>
    </row>
    <row r="4" spans="1:24">
      <c r="A4" t="s">
        <v>24</v>
      </c>
      <c r="B4" t="s">
        <v>38</v>
      </c>
      <c r="C4">
        <v>13.4056</v>
      </c>
      <c r="D4">
        <v>78.055300000000003</v>
      </c>
      <c r="E4">
        <v>2019</v>
      </c>
      <c r="F4">
        <v>9.41</v>
      </c>
      <c r="G4">
        <v>2080</v>
      </c>
      <c r="H4">
        <v>69</v>
      </c>
      <c r="I4">
        <f>150/369</f>
        <v>0.4065040650406504</v>
      </c>
      <c r="J4">
        <v>308</v>
      </c>
      <c r="K4">
        <v>1.02</v>
      </c>
      <c r="L4">
        <v>135</v>
      </c>
      <c r="M4">
        <v>73</v>
      </c>
      <c r="N4">
        <v>0</v>
      </c>
      <c r="O4">
        <v>345</v>
      </c>
      <c r="P4">
        <f>40/80</f>
        <v>0.5</v>
      </c>
      <c r="Q4">
        <f>24/35</f>
        <v>0.68571428571428572</v>
      </c>
      <c r="R4">
        <f>100/336</f>
        <v>0.29761904761904762</v>
      </c>
      <c r="S4">
        <v>47</v>
      </c>
      <c r="T4">
        <f t="shared" si="0"/>
        <v>0.32417814796326933</v>
      </c>
      <c r="U4">
        <f t="shared" si="1"/>
        <v>68.220789779326367</v>
      </c>
      <c r="V4">
        <f t="shared" si="2"/>
        <v>3.2417814796326931</v>
      </c>
      <c r="W4">
        <v>100</v>
      </c>
      <c r="X4">
        <f t="shared" si="3"/>
        <v>70.308448146299369</v>
      </c>
    </row>
    <row r="5" spans="1:24">
      <c r="A5" t="s">
        <v>24</v>
      </c>
      <c r="B5" t="s">
        <v>39</v>
      </c>
      <c r="C5">
        <v>13.315300000000001</v>
      </c>
      <c r="D5">
        <v>78.066699999999997</v>
      </c>
      <c r="E5">
        <v>2019</v>
      </c>
      <c r="F5">
        <v>9.08</v>
      </c>
      <c r="G5">
        <v>1661</v>
      </c>
      <c r="H5">
        <v>78</v>
      </c>
      <c r="I5">
        <f>150/146</f>
        <v>1.0273972602739727</v>
      </c>
      <c r="J5">
        <v>231</v>
      </c>
      <c r="K5">
        <v>1.23</v>
      </c>
      <c r="L5">
        <v>143</v>
      </c>
      <c r="M5">
        <v>44</v>
      </c>
      <c r="N5">
        <v>0</v>
      </c>
      <c r="O5">
        <v>275</v>
      </c>
      <c r="P5">
        <f>40/60</f>
        <v>0.66666666666666663</v>
      </c>
      <c r="Q5">
        <f>24/30</f>
        <v>0.8</v>
      </c>
      <c r="R5">
        <f>100/210</f>
        <v>0.47619047619047616</v>
      </c>
      <c r="S5">
        <v>9</v>
      </c>
      <c r="T5">
        <f t="shared" si="0"/>
        <v>0.46106944597707344</v>
      </c>
      <c r="U5">
        <f t="shared" si="1"/>
        <v>77.560730593607303</v>
      </c>
      <c r="V5">
        <f t="shared" si="2"/>
        <v>4.6106944597707349</v>
      </c>
      <c r="W5">
        <v>100</v>
      </c>
      <c r="X5">
        <f t="shared" si="3"/>
        <v>71.677361126437404</v>
      </c>
    </row>
    <row r="6" spans="1:24">
      <c r="A6" t="s">
        <v>24</v>
      </c>
      <c r="B6" t="s">
        <v>40</v>
      </c>
      <c r="C6">
        <v>13.4</v>
      </c>
      <c r="D6">
        <v>77.984200000000001</v>
      </c>
      <c r="E6">
        <v>2019</v>
      </c>
      <c r="F6">
        <v>8.4600000000000009</v>
      </c>
      <c r="G6">
        <v>602</v>
      </c>
      <c r="H6">
        <v>16</v>
      </c>
      <c r="I6">
        <f>150/92</f>
        <v>1.6304347826086956</v>
      </c>
      <c r="J6">
        <v>38</v>
      </c>
      <c r="K6">
        <v>0.57999999999999996</v>
      </c>
      <c r="L6">
        <v>22</v>
      </c>
      <c r="M6">
        <v>49</v>
      </c>
      <c r="N6">
        <v>0</v>
      </c>
      <c r="O6">
        <v>165</v>
      </c>
      <c r="P6">
        <f>40/30</f>
        <v>1.3333333333333333</v>
      </c>
      <c r="Q6">
        <f>24/22</f>
        <v>1.0909090909090908</v>
      </c>
      <c r="R6">
        <f>100/21</f>
        <v>4.7619047619047619</v>
      </c>
      <c r="S6">
        <v>3</v>
      </c>
      <c r="T6">
        <f t="shared" si="0"/>
        <v>3.4740961222422859</v>
      </c>
      <c r="U6">
        <f t="shared" si="1"/>
        <v>15.206192358366271</v>
      </c>
      <c r="V6">
        <f t="shared" si="2"/>
        <v>34.740961222422861</v>
      </c>
      <c r="W6">
        <v>100</v>
      </c>
      <c r="X6">
        <f t="shared" si="3"/>
        <v>101.80762788908955</v>
      </c>
    </row>
    <row r="7" spans="1:24">
      <c r="A7" t="s">
        <v>24</v>
      </c>
      <c r="B7" t="s">
        <v>41</v>
      </c>
      <c r="C7">
        <v>13.1211</v>
      </c>
      <c r="D7">
        <v>78.042500000000004</v>
      </c>
      <c r="E7">
        <v>2019</v>
      </c>
      <c r="F7">
        <v>8.09</v>
      </c>
      <c r="G7">
        <v>269</v>
      </c>
      <c r="H7">
        <v>0</v>
      </c>
      <c r="I7">
        <f>150/85</f>
        <v>1.7647058823529411</v>
      </c>
      <c r="J7">
        <v>25</v>
      </c>
      <c r="K7">
        <v>0.22</v>
      </c>
      <c r="L7">
        <v>20</v>
      </c>
      <c r="M7">
        <v>1</v>
      </c>
      <c r="N7">
        <v>0</v>
      </c>
      <c r="O7">
        <v>75</v>
      </c>
      <c r="P7">
        <f>40/16</f>
        <v>2.5</v>
      </c>
      <c r="Q7">
        <f>24/8</f>
        <v>3</v>
      </c>
      <c r="R7">
        <f>100/22</f>
        <v>4.5454545454545459</v>
      </c>
      <c r="S7">
        <v>0</v>
      </c>
      <c r="T7">
        <f t="shared" si="0"/>
        <v>2.2727272727272729</v>
      </c>
      <c r="U7">
        <f t="shared" si="1"/>
        <v>-3.7352941176470589</v>
      </c>
      <c r="V7">
        <f t="shared" si="2"/>
        <v>22.72727272727273</v>
      </c>
      <c r="W7">
        <v>100</v>
      </c>
      <c r="X7">
        <f t="shared" si="3"/>
        <v>89.793939393939411</v>
      </c>
    </row>
    <row r="8" spans="1:24">
      <c r="A8" t="s">
        <v>24</v>
      </c>
      <c r="B8" t="s">
        <v>42</v>
      </c>
      <c r="C8">
        <v>13.1067</v>
      </c>
      <c r="D8">
        <v>78.317499999999995</v>
      </c>
      <c r="E8">
        <v>2019</v>
      </c>
      <c r="F8">
        <v>8.39</v>
      </c>
      <c r="G8">
        <v>373</v>
      </c>
      <c r="H8">
        <v>15</v>
      </c>
      <c r="I8">
        <f>150/80</f>
        <v>1.875</v>
      </c>
      <c r="J8">
        <v>46</v>
      </c>
      <c r="K8">
        <v>0.75</v>
      </c>
      <c r="L8">
        <v>16</v>
      </c>
      <c r="M8">
        <v>15</v>
      </c>
      <c r="N8">
        <v>0</v>
      </c>
      <c r="O8">
        <v>115</v>
      </c>
      <c r="P8">
        <f>40/22</f>
        <v>1.8181818181818181</v>
      </c>
      <c r="Q8">
        <f>24/15</f>
        <v>1.6</v>
      </c>
      <c r="R8">
        <f>100/29</f>
        <v>3.4482758620689653</v>
      </c>
      <c r="S8">
        <v>0</v>
      </c>
      <c r="T8">
        <f t="shared" si="0"/>
        <v>2.1310915192803628</v>
      </c>
      <c r="U8">
        <f t="shared" si="1"/>
        <v>13.456818181818182</v>
      </c>
      <c r="V8">
        <f t="shared" si="2"/>
        <v>21.310915192803627</v>
      </c>
      <c r="W8">
        <v>100</v>
      </c>
      <c r="X8">
        <f t="shared" si="3"/>
        <v>88.377581859470311</v>
      </c>
    </row>
    <row r="9" spans="1:24">
      <c r="A9" t="s">
        <v>24</v>
      </c>
      <c r="B9" t="s">
        <v>32</v>
      </c>
      <c r="C9">
        <v>13.1067</v>
      </c>
      <c r="D9">
        <v>78.316900000000004</v>
      </c>
      <c r="E9">
        <v>2019</v>
      </c>
      <c r="F9">
        <v>8.5500000000000007</v>
      </c>
      <c r="G9">
        <v>1476</v>
      </c>
      <c r="H9">
        <v>51</v>
      </c>
      <c r="I9">
        <f>150/171</f>
        <v>0.8771929824561403</v>
      </c>
      <c r="J9">
        <v>266</v>
      </c>
      <c r="K9">
        <v>0.43</v>
      </c>
      <c r="L9">
        <v>98</v>
      </c>
      <c r="M9">
        <v>17</v>
      </c>
      <c r="N9">
        <v>0</v>
      </c>
      <c r="O9">
        <v>295</v>
      </c>
      <c r="P9">
        <f>40/52</f>
        <v>0.76923076923076927</v>
      </c>
      <c r="Q9">
        <f>24/40</f>
        <v>0.6</v>
      </c>
      <c r="R9">
        <f>100/125</f>
        <v>0.8</v>
      </c>
      <c r="S9">
        <v>26</v>
      </c>
      <c r="T9">
        <f t="shared" si="0"/>
        <v>0.7736673387697951</v>
      </c>
      <c r="U9">
        <f t="shared" si="1"/>
        <v>50.507962213225369</v>
      </c>
      <c r="V9">
        <f t="shared" si="2"/>
        <v>7.7366733876979508</v>
      </c>
      <c r="W9">
        <v>100</v>
      </c>
      <c r="X9">
        <f t="shared" si="3"/>
        <v>74.803340054364625</v>
      </c>
    </row>
    <row r="10" spans="1:24">
      <c r="A10" t="s">
        <v>24</v>
      </c>
      <c r="B10" t="s">
        <v>25</v>
      </c>
      <c r="C10">
        <v>13.047499999999999</v>
      </c>
      <c r="D10">
        <v>78.096400000000003</v>
      </c>
      <c r="E10">
        <v>2019</v>
      </c>
      <c r="F10">
        <v>9.27</v>
      </c>
      <c r="G10">
        <v>2430</v>
      </c>
      <c r="H10">
        <v>68</v>
      </c>
      <c r="I10">
        <f>150/283</f>
        <v>0.53003533568904593</v>
      </c>
      <c r="J10">
        <v>355</v>
      </c>
      <c r="K10">
        <v>1.3</v>
      </c>
      <c r="L10">
        <v>152</v>
      </c>
      <c r="M10">
        <v>257</v>
      </c>
      <c r="N10">
        <v>0</v>
      </c>
      <c r="O10">
        <v>375</v>
      </c>
      <c r="P10">
        <f>40/52</f>
        <v>0.76923076923076927</v>
      </c>
      <c r="Q10">
        <f>24/59</f>
        <v>0.40677966101694918</v>
      </c>
      <c r="R10">
        <f>100/402</f>
        <v>0.24875621890547264</v>
      </c>
      <c r="S10">
        <v>12</v>
      </c>
      <c r="T10">
        <f t="shared" si="0"/>
        <v>0.25223317995043848</v>
      </c>
      <c r="U10">
        <f t="shared" si="1"/>
        <v>67.354024905441335</v>
      </c>
      <c r="V10">
        <f t="shared" si="2"/>
        <v>2.5223317995043848</v>
      </c>
      <c r="W10">
        <v>100</v>
      </c>
      <c r="X10">
        <f t="shared" si="3"/>
        <v>69.588998466171063</v>
      </c>
    </row>
    <row r="11" spans="1:24">
      <c r="A11" t="s">
        <v>24</v>
      </c>
      <c r="B11" t="s">
        <v>43</v>
      </c>
      <c r="C11">
        <v>13.07</v>
      </c>
      <c r="D11">
        <v>78.350800000000007</v>
      </c>
      <c r="E11">
        <v>2019</v>
      </c>
      <c r="F11">
        <v>8.4499999999999993</v>
      </c>
      <c r="G11">
        <v>1211</v>
      </c>
      <c r="H11">
        <v>33</v>
      </c>
      <c r="I11">
        <f>150/189</f>
        <v>0.79365079365079361</v>
      </c>
      <c r="J11">
        <v>183</v>
      </c>
      <c r="K11">
        <v>1.35</v>
      </c>
      <c r="L11">
        <v>117</v>
      </c>
      <c r="M11">
        <v>5</v>
      </c>
      <c r="N11">
        <v>0</v>
      </c>
      <c r="O11">
        <v>150</v>
      </c>
      <c r="P11">
        <f>40/38</f>
        <v>1.0526315789473684</v>
      </c>
      <c r="Q11">
        <f>24/13</f>
        <v>1.8461538461538463</v>
      </c>
      <c r="R11">
        <f>100/174</f>
        <v>0.57471264367816088</v>
      </c>
      <c r="S11">
        <v>33</v>
      </c>
      <c r="T11">
        <f t="shared" si="0"/>
        <v>0.40887383277989309</v>
      </c>
      <c r="U11">
        <f t="shared" si="1"/>
        <v>30.894865368549574</v>
      </c>
      <c r="V11">
        <f t="shared" si="2"/>
        <v>4.0887383277989313</v>
      </c>
      <c r="W11">
        <v>100</v>
      </c>
      <c r="X11">
        <f t="shared" si="3"/>
        <v>71.155404994465599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71C4F-D8E0-48BF-9391-F76E98067D58}">
  <dimension ref="A1:X11"/>
  <sheetViews>
    <sheetView tabSelected="1" topLeftCell="C1" workbookViewId="0">
      <selection activeCell="G14" sqref="G14"/>
    </sheetView>
  </sheetViews>
  <sheetFormatPr defaultRowHeight="15"/>
  <cols>
    <col min="6" max="6" width="9.5703125" bestFit="1" customWidth="1"/>
  </cols>
  <sheetData>
    <row r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5" t="s">
        <v>23</v>
      </c>
      <c r="X1" t="s">
        <v>36</v>
      </c>
    </row>
    <row r="2" spans="1:24">
      <c r="A2" s="3" t="s">
        <v>24</v>
      </c>
      <c r="B2" s="3" t="s">
        <v>25</v>
      </c>
      <c r="C2" s="3">
        <v>78.096599999999995</v>
      </c>
      <c r="D2" s="3">
        <v>13.047700000000001</v>
      </c>
      <c r="E2" s="3">
        <v>8.6</v>
      </c>
      <c r="F2" s="3">
        <v>2240</v>
      </c>
      <c r="G2" s="3">
        <v>117</v>
      </c>
      <c r="H2" s="3">
        <f>150/281</f>
        <v>0.53380782918149461</v>
      </c>
      <c r="I2" s="3">
        <v>278</v>
      </c>
      <c r="J2" s="3">
        <v>112</v>
      </c>
      <c r="K2" s="3">
        <v>122</v>
      </c>
      <c r="L2" s="3">
        <v>320</v>
      </c>
      <c r="M2" s="3">
        <v>0</v>
      </c>
      <c r="N2" s="3">
        <v>80</v>
      </c>
      <c r="O2" s="3">
        <f>Sheet1!$Y$1/88</f>
        <v>0.45454545454545453</v>
      </c>
      <c r="P2" s="3">
        <f>24/61</f>
        <v>0.39344262295081966</v>
      </c>
      <c r="Q2" s="3">
        <f>100/264</f>
        <v>0.37878787878787878</v>
      </c>
      <c r="R2" s="3">
        <v>11.466666666666701</v>
      </c>
      <c r="S2" s="3">
        <f>Q2/(SQRT(O2+P2/2))</f>
        <v>0.46937139063444799</v>
      </c>
      <c r="T2" s="3">
        <f t="shared" ref="T2:T11" si="0">($H2+$I2)-($P2+$Q2)</f>
        <v>277.76157732744281</v>
      </c>
      <c r="U2" s="3">
        <f t="shared" ref="U2:U11" si="1">($T2/10)*100</f>
        <v>2777.6157732744282</v>
      </c>
      <c r="V2" s="3">
        <v>100</v>
      </c>
      <c r="W2">
        <v>70.776480000000006</v>
      </c>
      <c r="X2">
        <v>2020</v>
      </c>
    </row>
    <row r="3" spans="1:24">
      <c r="A3" s="3" t="s">
        <v>24</v>
      </c>
      <c r="B3" s="3" t="s">
        <v>26</v>
      </c>
      <c r="C3" s="3">
        <v>78.067999999999998</v>
      </c>
      <c r="D3" s="3">
        <v>12.92</v>
      </c>
      <c r="E3" s="3">
        <v>7.9</v>
      </c>
      <c r="F3" s="3">
        <v>2550</v>
      </c>
      <c r="G3" s="3">
        <v>0</v>
      </c>
      <c r="H3" s="3">
        <f>150/470</f>
        <v>0.31914893617021278</v>
      </c>
      <c r="I3" s="3">
        <v>387</v>
      </c>
      <c r="J3" s="3">
        <v>211</v>
      </c>
      <c r="K3" s="3">
        <v>54</v>
      </c>
      <c r="L3" s="3">
        <v>375</v>
      </c>
      <c r="M3" s="3">
        <v>0</v>
      </c>
      <c r="N3" s="3">
        <v>78</v>
      </c>
      <c r="O3" s="3">
        <f>40/96</f>
        <v>0.41666666666666669</v>
      </c>
      <c r="P3" s="3">
        <f>24/80</f>
        <v>0.3</v>
      </c>
      <c r="Q3" s="3">
        <f>100/326</f>
        <v>0.30674846625766872</v>
      </c>
      <c r="R3" s="3">
        <v>7.40606060606056</v>
      </c>
      <c r="S3" s="3">
        <f t="shared" ref="S3:S11" si="2">$R3/(SQRT($P3+$Q3/2))</f>
        <v>10.999142907440742</v>
      </c>
      <c r="T3" s="3">
        <f t="shared" si="0"/>
        <v>386.71240046991255</v>
      </c>
      <c r="U3" s="3">
        <f t="shared" si="1"/>
        <v>3867.1240046991256</v>
      </c>
      <c r="V3" s="3">
        <v>100</v>
      </c>
      <c r="W3">
        <v>70.274569999999997</v>
      </c>
      <c r="X3">
        <v>2020</v>
      </c>
    </row>
    <row r="4" spans="1:24">
      <c r="A4" s="3" t="s">
        <v>24</v>
      </c>
      <c r="B4" s="3" t="s">
        <v>27</v>
      </c>
      <c r="C4" s="3">
        <v>78.12</v>
      </c>
      <c r="D4" s="3">
        <v>12.9</v>
      </c>
      <c r="E4" s="3">
        <v>8.8000000000000007</v>
      </c>
      <c r="F4" s="3">
        <v>2070</v>
      </c>
      <c r="G4" s="3">
        <v>126</v>
      </c>
      <c r="H4" s="3">
        <f>150/289</f>
        <v>0.51903114186851207</v>
      </c>
      <c r="I4" s="3">
        <v>249</v>
      </c>
      <c r="J4" s="3">
        <v>112</v>
      </c>
      <c r="K4" s="3">
        <v>122</v>
      </c>
      <c r="L4" s="3">
        <v>180</v>
      </c>
      <c r="M4" s="3">
        <v>0</v>
      </c>
      <c r="N4" s="3">
        <v>320</v>
      </c>
      <c r="O4" s="3">
        <f>40/80</f>
        <v>0.5</v>
      </c>
      <c r="P4" s="3">
        <f>24/29</f>
        <v>0.82758620689655171</v>
      </c>
      <c r="Q4" s="3">
        <f>100/251</f>
        <v>0.39840637450199201</v>
      </c>
      <c r="R4" s="3">
        <v>3.3454545454545701</v>
      </c>
      <c r="S4" s="3">
        <f t="shared" si="2"/>
        <v>3.3015239071079261</v>
      </c>
      <c r="T4" s="3">
        <f t="shared" si="0"/>
        <v>248.29303856046997</v>
      </c>
      <c r="U4" s="3">
        <f t="shared" si="1"/>
        <v>2482.9303856046999</v>
      </c>
      <c r="V4" s="3">
        <v>100</v>
      </c>
      <c r="W4">
        <v>71.679879999999997</v>
      </c>
      <c r="X4">
        <v>2020</v>
      </c>
    </row>
    <row r="5" spans="1:24">
      <c r="A5" s="3" t="s">
        <v>24</v>
      </c>
      <c r="B5" s="3" t="s">
        <v>28</v>
      </c>
      <c r="C5" s="3">
        <v>78.12</v>
      </c>
      <c r="D5" s="3">
        <v>12.9</v>
      </c>
      <c r="E5" s="3">
        <v>7.9</v>
      </c>
      <c r="F5" s="3">
        <v>2440</v>
      </c>
      <c r="G5" s="3">
        <v>0</v>
      </c>
      <c r="H5" s="3">
        <f>150/488</f>
        <v>0.30737704918032788</v>
      </c>
      <c r="I5" s="3">
        <v>387</v>
      </c>
      <c r="J5" s="3">
        <v>211</v>
      </c>
      <c r="K5" s="3">
        <v>54</v>
      </c>
      <c r="L5" s="3">
        <v>375</v>
      </c>
      <c r="M5" s="3">
        <v>0</v>
      </c>
      <c r="N5" s="3">
        <v>78</v>
      </c>
      <c r="O5" s="3">
        <f>40/78</f>
        <v>0.51282051282051277</v>
      </c>
      <c r="P5" s="3">
        <f>24/44</f>
        <v>0.54545454545454541</v>
      </c>
      <c r="Q5" s="3">
        <f>100/274</f>
        <v>0.36496350364963503</v>
      </c>
      <c r="R5" s="3">
        <v>0.71515151515153996</v>
      </c>
      <c r="S5" s="3">
        <f t="shared" si="2"/>
        <v>0.83820717773172537</v>
      </c>
      <c r="T5" s="3">
        <f t="shared" si="0"/>
        <v>386.39695900007615</v>
      </c>
      <c r="U5" s="3">
        <f t="shared" si="1"/>
        <v>3863.9695900007619</v>
      </c>
      <c r="V5" s="3">
        <v>100</v>
      </c>
      <c r="W5">
        <v>71.768900000000002</v>
      </c>
      <c r="X5">
        <v>2020</v>
      </c>
    </row>
    <row r="6" spans="1:24">
      <c r="A6" s="3" t="s">
        <v>24</v>
      </c>
      <c r="B6" s="3" t="s">
        <v>29</v>
      </c>
      <c r="C6" s="3">
        <v>78.168000000000006</v>
      </c>
      <c r="D6" s="3">
        <v>12.843</v>
      </c>
      <c r="E6" s="3">
        <v>7.7</v>
      </c>
      <c r="F6" s="3">
        <v>680</v>
      </c>
      <c r="G6" s="3">
        <v>0</v>
      </c>
      <c r="H6" s="3">
        <f>150/147</f>
        <v>1.0204081632653061</v>
      </c>
      <c r="I6" s="3">
        <v>85</v>
      </c>
      <c r="J6" s="3">
        <v>62</v>
      </c>
      <c r="K6" s="3">
        <v>8</v>
      </c>
      <c r="L6" s="3">
        <v>280</v>
      </c>
      <c r="M6" s="3">
        <v>0</v>
      </c>
      <c r="N6" s="3">
        <v>135</v>
      </c>
      <c r="O6" s="3">
        <f>40/28</f>
        <v>1.4285714285714286</v>
      </c>
      <c r="P6" s="3">
        <f>24/16</f>
        <v>1.5</v>
      </c>
      <c r="Q6" s="3">
        <f>100/6983</f>
        <v>1.4320492624946298E-2</v>
      </c>
      <c r="R6" s="3">
        <v>4.7757575757575399</v>
      </c>
      <c r="S6" s="3">
        <f t="shared" si="2"/>
        <v>3.8901160560223396</v>
      </c>
      <c r="T6" s="3">
        <f t="shared" si="0"/>
        <v>84.506087670640355</v>
      </c>
      <c r="U6" s="3">
        <f t="shared" si="1"/>
        <v>845.06087670640363</v>
      </c>
      <c r="V6" s="3">
        <v>100</v>
      </c>
      <c r="W6">
        <v>78.563410000000005</v>
      </c>
      <c r="X6">
        <v>2020</v>
      </c>
    </row>
    <row r="7" spans="1:24">
      <c r="A7" s="3" t="s">
        <v>24</v>
      </c>
      <c r="B7" s="3" t="s">
        <v>30</v>
      </c>
      <c r="C7" s="3">
        <v>78.326999999999998</v>
      </c>
      <c r="D7" s="3">
        <v>13.1067</v>
      </c>
      <c r="E7" s="3">
        <v>8.5</v>
      </c>
      <c r="F7" s="3">
        <v>519</v>
      </c>
      <c r="G7" s="3">
        <v>24</v>
      </c>
      <c r="H7" s="3">
        <f>150/146</f>
        <v>1.0273972602739727</v>
      </c>
      <c r="I7" s="3">
        <v>43</v>
      </c>
      <c r="J7" s="3">
        <v>29</v>
      </c>
      <c r="K7" s="3">
        <v>0</v>
      </c>
      <c r="L7" s="3">
        <v>150</v>
      </c>
      <c r="M7" s="3">
        <v>0</v>
      </c>
      <c r="N7" s="3">
        <v>30</v>
      </c>
      <c r="O7" s="3">
        <f>Sheet1!$Y$1/30</f>
        <v>1.3333333333333333</v>
      </c>
      <c r="P7" s="3">
        <f>24/18</f>
        <v>1.3333333333333333</v>
      </c>
      <c r="Q7" s="3">
        <f>100/46</f>
        <v>2.1739130434782608</v>
      </c>
      <c r="R7" s="3">
        <v>8.8363636363636395</v>
      </c>
      <c r="S7" s="3">
        <f t="shared" si="2"/>
        <v>5.6798895365773721</v>
      </c>
      <c r="T7" s="3">
        <f t="shared" si="0"/>
        <v>40.520150883462378</v>
      </c>
      <c r="U7" s="3">
        <f t="shared" si="1"/>
        <v>405.20150883462378</v>
      </c>
      <c r="V7" s="3">
        <v>100</v>
      </c>
      <c r="W7">
        <v>77.94932</v>
      </c>
      <c r="X7">
        <v>2020</v>
      </c>
    </row>
    <row r="8" spans="1:24">
      <c r="A8" s="3" t="s">
        <v>24</v>
      </c>
      <c r="B8" s="3" t="s">
        <v>31</v>
      </c>
      <c r="C8" s="3">
        <v>78.042000000000002</v>
      </c>
      <c r="D8" s="3">
        <v>13.1213</v>
      </c>
      <c r="E8" s="3">
        <v>8.3000000000000007</v>
      </c>
      <c r="F8" s="3">
        <v>812</v>
      </c>
      <c r="G8" s="3">
        <v>0</v>
      </c>
      <c r="H8" s="3">
        <f>150/207</f>
        <v>0.72463768115942029</v>
      </c>
      <c r="I8" s="3">
        <v>53</v>
      </c>
      <c r="J8" s="3">
        <v>133</v>
      </c>
      <c r="K8" s="3">
        <v>22</v>
      </c>
      <c r="L8" s="3">
        <v>145</v>
      </c>
      <c r="M8" s="3">
        <v>0</v>
      </c>
      <c r="N8" s="3">
        <v>32</v>
      </c>
      <c r="O8" s="3">
        <f>40/32</f>
        <v>1.25</v>
      </c>
      <c r="P8" s="3">
        <f>24/16</f>
        <v>1.5</v>
      </c>
      <c r="Q8" s="3">
        <f>100/65</f>
        <v>1.5384615384615385</v>
      </c>
      <c r="R8" s="3">
        <v>12.8969696969697</v>
      </c>
      <c r="S8" s="3">
        <f t="shared" si="2"/>
        <v>8.5614701646966118</v>
      </c>
      <c r="T8" s="3">
        <f t="shared" si="0"/>
        <v>50.686176142697882</v>
      </c>
      <c r="U8" s="3">
        <f t="shared" si="1"/>
        <v>506.86176142697883</v>
      </c>
      <c r="V8" s="3">
        <v>100</v>
      </c>
      <c r="W8">
        <v>82.438550000000006</v>
      </c>
      <c r="X8">
        <v>2020</v>
      </c>
    </row>
    <row r="9" spans="1:24">
      <c r="A9" s="3" t="s">
        <v>24</v>
      </c>
      <c r="B9" s="3" t="s">
        <v>32</v>
      </c>
      <c r="C9" s="3">
        <v>77.987700000000004</v>
      </c>
      <c r="D9" s="3">
        <v>13.2042</v>
      </c>
      <c r="E9" s="3">
        <v>8.5</v>
      </c>
      <c r="F9" s="3">
        <v>2290</v>
      </c>
      <c r="G9" s="3">
        <v>40</v>
      </c>
      <c r="H9" s="3">
        <f>150/384</f>
        <v>0.390625</v>
      </c>
      <c r="I9" s="3">
        <v>359</v>
      </c>
      <c r="J9" s="3">
        <v>211</v>
      </c>
      <c r="K9" s="3">
        <v>0</v>
      </c>
      <c r="L9" s="3">
        <v>460</v>
      </c>
      <c r="M9" s="3">
        <v>0</v>
      </c>
      <c r="N9" s="3">
        <v>93</v>
      </c>
      <c r="O9" s="3">
        <f>40/93</f>
        <v>0.43010752688172044</v>
      </c>
      <c r="P9" s="3">
        <f>24/55</f>
        <v>0.43636363636363634</v>
      </c>
      <c r="Q9" s="3">
        <f>100/245</f>
        <v>0.40816326530612246</v>
      </c>
      <c r="R9" s="3">
        <v>16.9575757575757</v>
      </c>
      <c r="S9" s="3">
        <f t="shared" si="2"/>
        <v>21.189599828393046</v>
      </c>
      <c r="T9" s="3">
        <f t="shared" si="0"/>
        <v>358.54609809833022</v>
      </c>
      <c r="U9" s="3">
        <f t="shared" si="1"/>
        <v>3585.4609809833023</v>
      </c>
      <c r="V9" s="3">
        <v>100</v>
      </c>
      <c r="W9">
        <v>72.135980000000004</v>
      </c>
      <c r="X9">
        <v>2020</v>
      </c>
    </row>
    <row r="10" spans="1:24">
      <c r="A10" s="3" t="s">
        <v>24</v>
      </c>
      <c r="B10" s="3" t="s">
        <v>33</v>
      </c>
      <c r="C10" s="3">
        <v>78.363399999999999</v>
      </c>
      <c r="D10" s="3">
        <v>13.065799999999999</v>
      </c>
      <c r="E10" s="3">
        <v>8.6999999999999993</v>
      </c>
      <c r="F10" s="3">
        <v>1575</v>
      </c>
      <c r="G10" s="3">
        <v>54</v>
      </c>
      <c r="H10" s="3">
        <f>150/268</f>
        <v>0.55970149253731338</v>
      </c>
      <c r="I10" s="3">
        <v>157</v>
      </c>
      <c r="J10" s="3">
        <v>81</v>
      </c>
      <c r="K10" s="3">
        <v>196</v>
      </c>
      <c r="L10" s="3">
        <v>325</v>
      </c>
      <c r="M10" s="3">
        <v>0</v>
      </c>
      <c r="N10" s="3">
        <v>50</v>
      </c>
      <c r="O10" s="3">
        <f>40/52</f>
        <v>0.76923076923076927</v>
      </c>
      <c r="P10" s="3">
        <f>24/48</f>
        <v>0.5</v>
      </c>
      <c r="Q10" s="3">
        <f>100/267</f>
        <v>0.37453183520599254</v>
      </c>
      <c r="R10" s="3">
        <v>21.018181818181802</v>
      </c>
      <c r="S10" s="3">
        <f t="shared" si="2"/>
        <v>25.353197582332548</v>
      </c>
      <c r="T10" s="3">
        <f t="shared" si="0"/>
        <v>156.6851696573313</v>
      </c>
      <c r="U10" s="3">
        <f t="shared" si="1"/>
        <v>1566.8516965733129</v>
      </c>
      <c r="V10" s="3">
        <v>100</v>
      </c>
      <c r="W10" s="4">
        <v>67.895629999999997</v>
      </c>
      <c r="X10">
        <v>2020</v>
      </c>
    </row>
    <row r="11" spans="1:24">
      <c r="A11" s="3" t="s">
        <v>24</v>
      </c>
      <c r="B11" s="3" t="s">
        <v>34</v>
      </c>
      <c r="C11" s="3">
        <v>78.3</v>
      </c>
      <c r="D11" s="3">
        <v>12.964399999999999</v>
      </c>
      <c r="E11" s="3">
        <v>8.8000000000000007</v>
      </c>
      <c r="F11" s="3">
        <v>1679</v>
      </c>
      <c r="G11" s="3">
        <v>62</v>
      </c>
      <c r="H11" s="3">
        <f>150/248</f>
        <v>0.60483870967741937</v>
      </c>
      <c r="I11" s="3">
        <v>219</v>
      </c>
      <c r="J11" s="3">
        <v>108</v>
      </c>
      <c r="K11" s="3">
        <v>119</v>
      </c>
      <c r="L11" s="3">
        <v>254</v>
      </c>
      <c r="M11" s="3">
        <v>0</v>
      </c>
      <c r="N11" s="3">
        <v>290</v>
      </c>
      <c r="O11" s="3">
        <f>Sheet1!$Y$1/52</f>
        <v>0.76923076923076927</v>
      </c>
      <c r="P11" s="3">
        <f>24/39</f>
        <v>0.61538461538461542</v>
      </c>
      <c r="Q11" s="3">
        <f>100/123</f>
        <v>0.81300813008130079</v>
      </c>
      <c r="R11" s="3">
        <v>17.553535353535299</v>
      </c>
      <c r="S11" s="3">
        <f t="shared" si="2"/>
        <v>17.36452085037104</v>
      </c>
      <c r="T11" s="3">
        <f t="shared" si="0"/>
        <v>218.1764459642115</v>
      </c>
      <c r="U11" s="3">
        <f t="shared" si="1"/>
        <v>2181.7644596421151</v>
      </c>
      <c r="V11" s="3">
        <v>100</v>
      </c>
      <c r="W11">
        <v>70.789429999999996</v>
      </c>
      <c r="X11">
        <v>2020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931D6-13E3-3549-80CF-AB53A3675898}">
  <dimension ref="A1:X11"/>
  <sheetViews>
    <sheetView topLeftCell="I1" zoomScaleNormal="60" zoomScaleSheetLayoutView="100" workbookViewId="0">
      <selection activeCell="F1" sqref="F1:W11"/>
    </sheetView>
  </sheetViews>
  <sheetFormatPr defaultRowHeight="14.45"/>
  <cols>
    <col min="2" max="2" width="15" customWidth="1"/>
  </cols>
  <sheetData>
    <row r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 s="3" t="s">
        <v>44</v>
      </c>
      <c r="B2" s="3" t="s">
        <v>28</v>
      </c>
      <c r="C2" s="3">
        <v>78.13</v>
      </c>
      <c r="D2" s="3">
        <v>12.91</v>
      </c>
      <c r="E2" s="3">
        <v>2020</v>
      </c>
      <c r="F2" s="3">
        <v>8.6</v>
      </c>
      <c r="G2" s="3">
        <v>2240</v>
      </c>
      <c r="H2" s="3">
        <v>117</v>
      </c>
      <c r="I2" s="3">
        <f>150/281</f>
        <v>0.53380782918149461</v>
      </c>
      <c r="J2" s="3">
        <v>278</v>
      </c>
      <c r="K2" s="3">
        <v>112</v>
      </c>
      <c r="L2" s="3">
        <v>122</v>
      </c>
      <c r="M2" s="3">
        <v>320</v>
      </c>
      <c r="N2" s="3">
        <v>0</v>
      </c>
      <c r="O2" s="3">
        <v>80</v>
      </c>
      <c r="P2" s="3">
        <f>Sheet1!$Y$1/88</f>
        <v>0.45454545454545453</v>
      </c>
      <c r="Q2" s="3">
        <f>24/61</f>
        <v>0.39344262295081966</v>
      </c>
      <c r="R2" s="3">
        <f>100/264</f>
        <v>0.37878787878787878</v>
      </c>
      <c r="S2" s="3">
        <v>11.466666666666701</v>
      </c>
      <c r="T2" s="3">
        <f>R2/(SQRT(P2+Q2/2))</f>
        <v>0.46937139063444799</v>
      </c>
      <c r="U2" s="3">
        <f t="shared" ref="U2:U11" si="0">($H2+$I2)-($P2+$Q2)</f>
        <v>116.68581975168523</v>
      </c>
      <c r="V2" s="3">
        <f t="shared" ref="V2:V11" si="1">($T2/10)*100</f>
        <v>4.6937139063444802</v>
      </c>
      <c r="W2" s="3">
        <v>100</v>
      </c>
      <c r="X2" s="3">
        <f t="shared" ref="X2:X11" si="2">(0.6*$V2+0.4*$W2)/0.6+0.4</f>
        <v>71.760380573011147</v>
      </c>
    </row>
    <row r="3" spans="1:24">
      <c r="A3" s="3" t="s">
        <v>44</v>
      </c>
      <c r="B3" s="3" t="s">
        <v>37</v>
      </c>
      <c r="C3" s="3">
        <v>78.13</v>
      </c>
      <c r="D3" s="3">
        <v>12.91</v>
      </c>
      <c r="E3" s="3">
        <v>2020</v>
      </c>
      <c r="F3" s="3">
        <v>7.9</v>
      </c>
      <c r="G3" s="3">
        <v>2550</v>
      </c>
      <c r="H3" s="3">
        <v>0</v>
      </c>
      <c r="I3" s="3">
        <f>150/470</f>
        <v>0.31914893617021278</v>
      </c>
      <c r="J3" s="3">
        <v>387</v>
      </c>
      <c r="K3" s="3">
        <v>211</v>
      </c>
      <c r="L3" s="3">
        <v>54</v>
      </c>
      <c r="M3" s="3">
        <v>375</v>
      </c>
      <c r="N3" s="3">
        <v>0</v>
      </c>
      <c r="O3" s="3">
        <v>78</v>
      </c>
      <c r="P3" s="3">
        <f>40/96</f>
        <v>0.41666666666666669</v>
      </c>
      <c r="Q3" s="3">
        <f>24/80</f>
        <v>0.3</v>
      </c>
      <c r="R3" s="3">
        <f>100/326</f>
        <v>0.30674846625766872</v>
      </c>
      <c r="S3" s="3">
        <v>7.40606060606056</v>
      </c>
      <c r="T3" s="3">
        <f t="shared" ref="T3:T11" si="3">$R3/(SQRT($P3+$Q3/2))</f>
        <v>0.40749151175157761</v>
      </c>
      <c r="U3" s="3">
        <f t="shared" si="0"/>
        <v>-0.39751773049645389</v>
      </c>
      <c r="V3" s="3">
        <f t="shared" si="1"/>
        <v>4.0749151175157756</v>
      </c>
      <c r="W3" s="3">
        <v>100</v>
      </c>
      <c r="X3" s="3">
        <f t="shared" si="2"/>
        <v>71.141581784182449</v>
      </c>
    </row>
    <row r="4" spans="1:24">
      <c r="A4" s="3" t="s">
        <v>44</v>
      </c>
      <c r="B4" s="3" t="s">
        <v>45</v>
      </c>
      <c r="C4" s="3">
        <v>78.3</v>
      </c>
      <c r="D4" s="3">
        <v>13.12</v>
      </c>
      <c r="E4" s="3">
        <v>2020</v>
      </c>
      <c r="F4" s="3">
        <v>8.8000000000000007</v>
      </c>
      <c r="G4" s="3">
        <v>2070</v>
      </c>
      <c r="H4" s="3">
        <v>126</v>
      </c>
      <c r="I4" s="3">
        <f>150/289</f>
        <v>0.51903114186851207</v>
      </c>
      <c r="J4" s="3">
        <v>249</v>
      </c>
      <c r="K4" s="3">
        <v>112</v>
      </c>
      <c r="L4" s="3">
        <v>122</v>
      </c>
      <c r="M4" s="3">
        <v>180</v>
      </c>
      <c r="N4" s="3">
        <v>0</v>
      </c>
      <c r="O4" s="3">
        <v>320</v>
      </c>
      <c r="P4" s="3">
        <f>40/80</f>
        <v>0.5</v>
      </c>
      <c r="Q4" s="3">
        <f>24/29</f>
        <v>0.82758620689655171</v>
      </c>
      <c r="R4" s="3">
        <f>100/251</f>
        <v>0.39840637450199201</v>
      </c>
      <c r="S4" s="3">
        <v>3.3454545454545701</v>
      </c>
      <c r="T4" s="3">
        <f t="shared" si="3"/>
        <v>0.41677565287917345</v>
      </c>
      <c r="U4" s="3">
        <f t="shared" si="0"/>
        <v>125.19144493497195</v>
      </c>
      <c r="V4" s="3">
        <f t="shared" si="1"/>
        <v>4.1677565287917346</v>
      </c>
      <c r="W4" s="3">
        <v>100</v>
      </c>
      <c r="X4" s="3">
        <f t="shared" si="2"/>
        <v>71.234423195458405</v>
      </c>
    </row>
    <row r="5" spans="1:24">
      <c r="A5" s="3" t="s">
        <v>44</v>
      </c>
      <c r="B5" s="3" t="s">
        <v>39</v>
      </c>
      <c r="C5" s="3">
        <v>78.069999999999993</v>
      </c>
      <c r="D5" s="3">
        <v>13.32</v>
      </c>
      <c r="E5" s="3">
        <v>2020</v>
      </c>
      <c r="F5" s="3">
        <v>7.9</v>
      </c>
      <c r="G5" s="3">
        <v>2440</v>
      </c>
      <c r="H5" s="3">
        <v>0</v>
      </c>
      <c r="I5" s="3">
        <f>150/488</f>
        <v>0.30737704918032788</v>
      </c>
      <c r="J5" s="3">
        <v>387</v>
      </c>
      <c r="K5" s="3">
        <v>211</v>
      </c>
      <c r="L5" s="3">
        <v>54</v>
      </c>
      <c r="M5" s="3">
        <v>375</v>
      </c>
      <c r="N5" s="3">
        <v>0</v>
      </c>
      <c r="O5" s="3">
        <v>78</v>
      </c>
      <c r="P5" s="3">
        <f>40/78</f>
        <v>0.51282051282051277</v>
      </c>
      <c r="Q5" s="3">
        <f>24/44</f>
        <v>0.54545454545454541</v>
      </c>
      <c r="R5" s="3">
        <f>100/274</f>
        <v>0.36496350364963503</v>
      </c>
      <c r="S5" s="3">
        <v>0.71515151515153996</v>
      </c>
      <c r="T5" s="3">
        <f t="shared" si="3"/>
        <v>0.41177799328622261</v>
      </c>
      <c r="U5" s="3">
        <f t="shared" si="0"/>
        <v>-0.75089800909473037</v>
      </c>
      <c r="V5" s="3">
        <f t="shared" si="1"/>
        <v>4.1177799328622262</v>
      </c>
      <c r="W5" s="3">
        <v>100</v>
      </c>
      <c r="X5" s="3">
        <f t="shared" si="2"/>
        <v>71.184446599528897</v>
      </c>
    </row>
    <row r="6" spans="1:24">
      <c r="A6" s="3" t="s">
        <v>44</v>
      </c>
      <c r="B6" s="3" t="s">
        <v>46</v>
      </c>
      <c r="C6" s="3">
        <v>77.680000000000007</v>
      </c>
      <c r="D6" s="3">
        <v>13.68</v>
      </c>
      <c r="E6" s="3">
        <v>2020</v>
      </c>
      <c r="F6" s="3">
        <v>7.7</v>
      </c>
      <c r="G6" s="3">
        <v>680</v>
      </c>
      <c r="H6" s="3">
        <v>0</v>
      </c>
      <c r="I6" s="3">
        <f>150/147</f>
        <v>1.0204081632653061</v>
      </c>
      <c r="J6" s="3">
        <v>85</v>
      </c>
      <c r="K6" s="3">
        <v>62</v>
      </c>
      <c r="L6" s="3">
        <v>8</v>
      </c>
      <c r="M6" s="3">
        <v>280</v>
      </c>
      <c r="N6" s="3">
        <v>0</v>
      </c>
      <c r="O6" s="3">
        <v>135</v>
      </c>
      <c r="P6" s="3">
        <f>40/28</f>
        <v>1.4285714285714286</v>
      </c>
      <c r="Q6" s="3">
        <f>24/16</f>
        <v>1.5</v>
      </c>
      <c r="R6" s="3">
        <f>100/6983</f>
        <v>1.4320492624946298E-2</v>
      </c>
      <c r="S6" s="3">
        <v>4.7757575757575399</v>
      </c>
      <c r="T6" s="3">
        <f t="shared" si="3"/>
        <v>9.7022409550931998E-3</v>
      </c>
      <c r="U6" s="3">
        <f t="shared" si="0"/>
        <v>-1.9081632653061227</v>
      </c>
      <c r="V6" s="3">
        <f t="shared" si="1"/>
        <v>9.7022409550931998E-2</v>
      </c>
      <c r="W6" s="3">
        <v>100</v>
      </c>
      <c r="X6" s="3">
        <f t="shared" si="2"/>
        <v>67.163689076217608</v>
      </c>
    </row>
    <row r="7" spans="1:24">
      <c r="A7" s="3" t="s">
        <v>44</v>
      </c>
      <c r="B7" s="3" t="s">
        <v>41</v>
      </c>
      <c r="C7" s="3">
        <v>78.040000000000006</v>
      </c>
      <c r="D7" s="3">
        <v>13.12</v>
      </c>
      <c r="E7" s="3">
        <v>2020</v>
      </c>
      <c r="F7" s="3">
        <v>8.5</v>
      </c>
      <c r="G7" s="3">
        <v>519</v>
      </c>
      <c r="H7" s="3">
        <v>24</v>
      </c>
      <c r="I7" s="3">
        <f>150/146</f>
        <v>1.0273972602739727</v>
      </c>
      <c r="J7" s="3">
        <v>43</v>
      </c>
      <c r="K7" s="3">
        <v>29</v>
      </c>
      <c r="L7" s="3">
        <v>0</v>
      </c>
      <c r="M7" s="3">
        <v>150</v>
      </c>
      <c r="N7" s="3">
        <v>0</v>
      </c>
      <c r="O7" s="3">
        <v>30</v>
      </c>
      <c r="P7" s="3">
        <f>Sheet1!$Y$1/30</f>
        <v>1.3333333333333333</v>
      </c>
      <c r="Q7" s="3">
        <f>24/18</f>
        <v>1.3333333333333333</v>
      </c>
      <c r="R7" s="3">
        <f>100/46</f>
        <v>2.1739130434782608</v>
      </c>
      <c r="S7" s="3">
        <v>8.8363636363636395</v>
      </c>
      <c r="T7" s="3">
        <f t="shared" si="3"/>
        <v>1.537188654753364</v>
      </c>
      <c r="U7" s="3">
        <f t="shared" si="0"/>
        <v>22.360730593607304</v>
      </c>
      <c r="V7" s="3">
        <f t="shared" si="1"/>
        <v>15.37188654753364</v>
      </c>
      <c r="W7" s="3">
        <v>100</v>
      </c>
      <c r="X7" s="3">
        <f t="shared" si="2"/>
        <v>82.438553214200311</v>
      </c>
    </row>
    <row r="8" spans="1:24">
      <c r="A8" s="3" t="s">
        <v>44</v>
      </c>
      <c r="B8" s="3" t="s">
        <v>42</v>
      </c>
      <c r="C8" s="3">
        <v>78.319999999999993</v>
      </c>
      <c r="D8" s="3">
        <v>13.11</v>
      </c>
      <c r="E8" s="3">
        <v>2020</v>
      </c>
      <c r="F8" s="3">
        <v>8.3000000000000007</v>
      </c>
      <c r="G8" s="3">
        <v>812</v>
      </c>
      <c r="H8" s="3">
        <v>0</v>
      </c>
      <c r="I8" s="3">
        <f>150/207</f>
        <v>0.72463768115942029</v>
      </c>
      <c r="J8" s="3">
        <v>53</v>
      </c>
      <c r="K8" s="3">
        <v>133</v>
      </c>
      <c r="L8" s="3">
        <v>22</v>
      </c>
      <c r="M8" s="3">
        <v>145</v>
      </c>
      <c r="N8" s="3">
        <v>0</v>
      </c>
      <c r="O8" s="3">
        <v>32</v>
      </c>
      <c r="P8" s="3">
        <f>40/32</f>
        <v>1.25</v>
      </c>
      <c r="Q8" s="3">
        <f>24/16</f>
        <v>1.5</v>
      </c>
      <c r="R8" s="3">
        <f>100/65</f>
        <v>1.5384615384615385</v>
      </c>
      <c r="S8" s="3">
        <v>12.8969696969697</v>
      </c>
      <c r="T8" s="3">
        <f t="shared" si="3"/>
        <v>1.0878565864408423</v>
      </c>
      <c r="U8" s="3">
        <f t="shared" si="0"/>
        <v>-2.0253623188405796</v>
      </c>
      <c r="V8" s="3">
        <f t="shared" si="1"/>
        <v>10.878565864408422</v>
      </c>
      <c r="W8" s="3">
        <v>100</v>
      </c>
      <c r="X8" s="3">
        <f t="shared" si="2"/>
        <v>77.945232531075092</v>
      </c>
    </row>
    <row r="9" spans="1:24">
      <c r="A9" s="3" t="s">
        <v>44</v>
      </c>
      <c r="B9" s="3" t="s">
        <v>32</v>
      </c>
      <c r="C9" s="3">
        <v>78.319999999999993</v>
      </c>
      <c r="D9" s="3">
        <v>13.11</v>
      </c>
      <c r="E9" s="3">
        <v>2020</v>
      </c>
      <c r="F9" s="3">
        <v>8.5</v>
      </c>
      <c r="G9" s="3">
        <v>2290</v>
      </c>
      <c r="H9" s="3">
        <v>40</v>
      </c>
      <c r="I9" s="3">
        <f>150/384</f>
        <v>0.390625</v>
      </c>
      <c r="J9" s="3">
        <v>359</v>
      </c>
      <c r="K9" s="3">
        <v>211</v>
      </c>
      <c r="L9" s="3">
        <v>0</v>
      </c>
      <c r="M9" s="3">
        <v>460</v>
      </c>
      <c r="N9" s="3">
        <v>0</v>
      </c>
      <c r="O9" s="3">
        <v>93</v>
      </c>
      <c r="P9" s="3">
        <f>40/93</f>
        <v>0.43010752688172044</v>
      </c>
      <c r="Q9" s="3">
        <f>24/55</f>
        <v>0.43636363636363634</v>
      </c>
      <c r="R9" s="3">
        <f>100/245</f>
        <v>0.40816326530612246</v>
      </c>
      <c r="S9" s="3">
        <v>16.9575757575757</v>
      </c>
      <c r="T9" s="3">
        <f t="shared" si="3"/>
        <v>0.50693172787023377</v>
      </c>
      <c r="U9" s="3">
        <f t="shared" si="0"/>
        <v>39.524153836754643</v>
      </c>
      <c r="V9" s="3">
        <f t="shared" si="1"/>
        <v>5.0693172787023375</v>
      </c>
      <c r="W9" s="3">
        <v>100</v>
      </c>
      <c r="X9" s="3">
        <f t="shared" si="2"/>
        <v>72.13598394536902</v>
      </c>
    </row>
    <row r="10" spans="1:24">
      <c r="A10" s="3" t="s">
        <v>44</v>
      </c>
      <c r="B10" s="3" t="s">
        <v>25</v>
      </c>
      <c r="C10" s="3">
        <v>78.099999999999994</v>
      </c>
      <c r="D10" s="3">
        <v>13.05</v>
      </c>
      <c r="E10" s="3">
        <v>2020</v>
      </c>
      <c r="F10" s="3">
        <v>8.6999999999999993</v>
      </c>
      <c r="G10" s="3">
        <v>1575</v>
      </c>
      <c r="H10" s="3">
        <v>54</v>
      </c>
      <c r="I10" s="3">
        <f>150/268</f>
        <v>0.55970149253731338</v>
      </c>
      <c r="J10" s="3">
        <v>157</v>
      </c>
      <c r="K10" s="3">
        <v>81</v>
      </c>
      <c r="L10" s="3">
        <v>196</v>
      </c>
      <c r="M10" s="3">
        <v>325</v>
      </c>
      <c r="N10" s="3">
        <v>0</v>
      </c>
      <c r="O10" s="3">
        <v>50</v>
      </c>
      <c r="P10" s="3">
        <f>40/52</f>
        <v>0.76923076923076927</v>
      </c>
      <c r="Q10" s="3">
        <f>24/48</f>
        <v>0.5</v>
      </c>
      <c r="R10" s="3">
        <f>100/267</f>
        <v>0.37453183520599254</v>
      </c>
      <c r="S10" s="3">
        <v>21.018181818181802</v>
      </c>
      <c r="T10" s="3">
        <f t="shared" si="3"/>
        <v>0.37098169029486788</v>
      </c>
      <c r="U10" s="3">
        <f t="shared" si="0"/>
        <v>53.290470723306548</v>
      </c>
      <c r="V10" s="3">
        <f t="shared" si="1"/>
        <v>3.7098169029486789</v>
      </c>
      <c r="W10" s="3">
        <v>100</v>
      </c>
      <c r="X10" s="3">
        <f t="shared" si="2"/>
        <v>70.776483569615351</v>
      </c>
    </row>
    <row r="11" spans="1:24">
      <c r="A11" s="3" t="s">
        <v>44</v>
      </c>
      <c r="B11" s="3" t="s">
        <v>47</v>
      </c>
      <c r="C11" s="3">
        <v>78.37</v>
      </c>
      <c r="D11" s="3">
        <v>13.06</v>
      </c>
      <c r="E11" s="3">
        <v>2020</v>
      </c>
      <c r="F11" s="3">
        <v>8.8000000000000007</v>
      </c>
      <c r="G11" s="3">
        <v>1679</v>
      </c>
      <c r="H11" s="3">
        <v>62</v>
      </c>
      <c r="I11" s="3">
        <f>150/248</f>
        <v>0.60483870967741937</v>
      </c>
      <c r="J11" s="3">
        <v>219</v>
      </c>
      <c r="K11" s="3">
        <v>108</v>
      </c>
      <c r="L11" s="3">
        <v>119</v>
      </c>
      <c r="M11" s="3">
        <v>254</v>
      </c>
      <c r="N11" s="3">
        <v>0</v>
      </c>
      <c r="O11" s="3">
        <v>290</v>
      </c>
      <c r="P11" s="3">
        <f>Sheet1!$Y$1/52</f>
        <v>0.76923076923076927</v>
      </c>
      <c r="Q11" s="3">
        <f>24/39</f>
        <v>0.61538461538461542</v>
      </c>
      <c r="R11" s="3">
        <f>100/123</f>
        <v>0.81300813008130079</v>
      </c>
      <c r="S11" s="3">
        <v>17.553535353535299</v>
      </c>
      <c r="T11" s="3">
        <f t="shared" si="3"/>
        <v>0.78343423712148907</v>
      </c>
      <c r="U11" s="3">
        <f t="shared" si="0"/>
        <v>61.22022332506203</v>
      </c>
      <c r="V11" s="3">
        <f t="shared" si="1"/>
        <v>7.8343423712148903</v>
      </c>
      <c r="W11" s="3">
        <v>100</v>
      </c>
      <c r="X11" s="3">
        <f t="shared" si="2"/>
        <v>74.901009037881565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ankita dangapur</dc:creator>
  <cp:keywords/>
  <dc:description/>
  <cp:lastModifiedBy/>
  <cp:revision/>
  <dcterms:created xsi:type="dcterms:W3CDTF">2025-09-28T16:24:48Z</dcterms:created>
  <dcterms:modified xsi:type="dcterms:W3CDTF">2025-12-03T09:45:36Z</dcterms:modified>
  <cp:category/>
  <cp:contentStatus/>
</cp:coreProperties>
</file>